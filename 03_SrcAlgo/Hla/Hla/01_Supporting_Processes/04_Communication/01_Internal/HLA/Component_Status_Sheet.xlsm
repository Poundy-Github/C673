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showInkAnnotation="0" codeName="ThisWorkbook"/>
  <mc:AlternateContent xmlns:mc="http://schemas.openxmlformats.org/markup-compatibility/2006">
    <mc:Choice Requires="x15">
      <x15ac:absPath xmlns:x15ac="http://schemas.microsoft.com/office/spreadsheetml/2010/11/ac" url="E:\sbx\02_variant\HLA_06_39_00\01_Supporting_Processes\04_Communication\01_Internal\HLA\"/>
    </mc:Choice>
  </mc:AlternateContent>
  <xr:revisionPtr revIDLastSave="0" documentId="13_ncr:1_{DB66B6A3-FD60-416F-A16E-F33BA31B1B27}" xr6:coauthVersionLast="45" xr6:coauthVersionMax="45" xr10:uidLastSave="{00000000-0000-0000-0000-000000000000}"/>
  <bookViews>
    <workbookView xWindow="-120" yWindow="-120" windowWidth="29040" windowHeight="15840" tabRatio="601" xr2:uid="{00000000-000D-0000-FFFF-FFFF00000000}"/>
  </bookViews>
  <sheets>
    <sheet name="Header page" sheetId="1" r:id="rId1"/>
    <sheet name="SW Component Status" sheetId="10" r:id="rId2"/>
    <sheet name="Config" sheetId="11" r:id="rId3"/>
    <sheet name="Description" sheetId="7" r:id="rId4"/>
    <sheet name="Mapping_3rd_Party_SW" sheetId="12" r:id="rId5"/>
  </sheets>
  <functionGroups builtInGroupCount="19"/>
  <definedNames>
    <definedName name="_xlnm._FilterDatabase" localSheetId="1" hidden="1">'SW Component Status'!$A$11:$M$11</definedName>
    <definedName name="component_name">'Header page'!$A$12</definedName>
    <definedName name="CSS_CheckpointUsed">Config!$B$32</definedName>
    <definedName name="CSS_ComponentBasePath">Config!$B$6</definedName>
    <definedName name="CSS_DevPath">Config!$B$4</definedName>
    <definedName name="CSS_FileDefaultValues">Config!$E$20:$N$29</definedName>
    <definedName name="CSS_FileDirectories">Config!$B$15:$B$19</definedName>
    <definedName name="CSS_FileFilter">Config!$B$20:$B$29</definedName>
    <definedName name="CSS_JenkinsRun">Config!$B$33</definedName>
    <definedName name="CSS_JenkinsUrl">Config!$B$7:$B$14</definedName>
    <definedName name="CSS_LastUpdate">Config!$B$34</definedName>
    <definedName name="CSS_ModuleTestBasePath">Config!#REF!</definedName>
    <definedName name="CSS_Project">Config!#REF!</definedName>
    <definedName name="CSS_ReviewToolProjects">Config!$B$5</definedName>
    <definedName name="CSS_SourceCodeBasePath">Config!#REF!</definedName>
    <definedName name="CSS_Version">'Header page'!$C$23</definedName>
    <definedName name="Z_976DA78E_630C_4005_9458_307AED3F75F0_.wvu.Cols" localSheetId="1" hidden="1">'SW Component Status'!#REF!,'SW Component Status'!#REF!</definedName>
    <definedName name="Z_976DA78E_630C_4005_9458_307AED3F75F0_.wvu.FilterData" localSheetId="1" hidden="1">'SW Component Status'!$A$9:$M$9</definedName>
    <definedName name="Z_976DA78E_630C_4005_9458_307AED3F75F0_.wvu.Rows" localSheetId="1" hidden="1">'SW Component Status'!#REF!</definedName>
  </definedNames>
  <calcPr calcId="191029" calcOnSave="0"/>
  <customWorkbookViews>
    <customWorkbookView name="uidg9301 - Persönliche Ansicht" guid="{976DA78E-630C-4005-9458-307AED3F75F0}" mergeInterval="0" personalView="1" maximized="1" xWindow="-8" yWindow="-8" windowWidth="1616" windowHeight="876" tabRatio="693"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6" i="10" l="1"/>
  <c r="E26" i="10"/>
  <c r="H115" i="10"/>
  <c r="E115" i="10"/>
  <c r="H49" i="10"/>
  <c r="H48" i="10"/>
  <c r="H47" i="10"/>
  <c r="H46" i="10"/>
  <c r="H45" i="10"/>
  <c r="H44" i="10"/>
  <c r="H43" i="10"/>
  <c r="E49" i="10"/>
  <c r="E48" i="10"/>
  <c r="E47" i="10"/>
  <c r="E46" i="10"/>
  <c r="E45" i="10"/>
  <c r="E44" i="10"/>
  <c r="E43" i="10"/>
  <c r="H36" i="10" l="1"/>
  <c r="E36" i="10"/>
  <c r="L131" i="10" l="1"/>
  <c r="H99" i="10"/>
  <c r="E99" i="10"/>
  <c r="H15" i="10" l="1"/>
  <c r="H22" i="10"/>
  <c r="H29" i="10"/>
  <c r="H50" i="10"/>
  <c r="H57" i="10"/>
  <c r="H64" i="10"/>
  <c r="H71" i="10"/>
  <c r="E71" i="10"/>
  <c r="E64" i="10"/>
  <c r="E57" i="10"/>
  <c r="E50" i="10"/>
  <c r="E29" i="10"/>
  <c r="E22" i="10"/>
  <c r="E15" i="10"/>
  <c r="H40" i="10" l="1"/>
  <c r="E40" i="10"/>
  <c r="H72" i="10" l="1"/>
  <c r="H73" i="10"/>
  <c r="H74" i="10"/>
  <c r="H75" i="10"/>
  <c r="H76" i="10"/>
  <c r="H77" i="10"/>
  <c r="E72" i="10"/>
  <c r="E73" i="10"/>
  <c r="E74" i="10"/>
  <c r="E75" i="10"/>
  <c r="E76" i="10"/>
  <c r="E77" i="10"/>
  <c r="L133" i="10" l="1"/>
  <c r="L132" i="10"/>
  <c r="L130" i="10"/>
  <c r="L129" i="10"/>
  <c r="L128" i="10"/>
  <c r="L127" i="10"/>
  <c r="L126" i="10"/>
  <c r="L125" i="10"/>
  <c r="L124" i="10"/>
  <c r="L123" i="10"/>
  <c r="L122" i="10"/>
  <c r="L121" i="10"/>
  <c r="L120" i="10"/>
  <c r="L119" i="10"/>
  <c r="L118" i="10"/>
  <c r="L117" i="10"/>
  <c r="H116" i="10"/>
  <c r="H114" i="10"/>
  <c r="H113" i="10"/>
  <c r="H112" i="10"/>
  <c r="H111" i="10"/>
  <c r="H110" i="10"/>
  <c r="H109" i="10"/>
  <c r="H108" i="10"/>
  <c r="H107" i="10"/>
  <c r="H106" i="10"/>
  <c r="H105" i="10"/>
  <c r="H104" i="10"/>
  <c r="H103" i="10"/>
  <c r="H102" i="10"/>
  <c r="H101" i="10"/>
  <c r="H100" i="10"/>
  <c r="H98" i="10"/>
  <c r="H97" i="10"/>
  <c r="H96" i="10"/>
  <c r="H95" i="10"/>
  <c r="H94" i="10"/>
  <c r="H93" i="10"/>
  <c r="H92" i="10"/>
  <c r="H91" i="10"/>
  <c r="H90" i="10"/>
  <c r="H89" i="10"/>
  <c r="H88" i="10"/>
  <c r="H87" i="10"/>
  <c r="H86" i="10"/>
  <c r="H85" i="10"/>
  <c r="H84" i="10"/>
  <c r="H83" i="10"/>
  <c r="H82" i="10"/>
  <c r="H81" i="10"/>
  <c r="H80" i="10"/>
  <c r="H79" i="10"/>
  <c r="H78" i="10"/>
  <c r="H70" i="10"/>
  <c r="H69" i="10"/>
  <c r="H68" i="10"/>
  <c r="H67" i="10"/>
  <c r="H66" i="10"/>
  <c r="H65" i="10"/>
  <c r="H63" i="10"/>
  <c r="H62" i="10"/>
  <c r="H61" i="10"/>
  <c r="H60" i="10"/>
  <c r="H59" i="10"/>
  <c r="H58" i="10"/>
  <c r="H56" i="10"/>
  <c r="H55" i="10"/>
  <c r="H54" i="10"/>
  <c r="H53" i="10"/>
  <c r="H52" i="10"/>
  <c r="H51" i="10"/>
  <c r="H42" i="10"/>
  <c r="H41" i="10"/>
  <c r="H39" i="10"/>
  <c r="H38" i="10"/>
  <c r="H37" i="10"/>
  <c r="H35" i="10"/>
  <c r="H34" i="10"/>
  <c r="H33" i="10"/>
  <c r="H32" i="10"/>
  <c r="H31" i="10"/>
  <c r="H30" i="10"/>
  <c r="H28" i="10"/>
  <c r="H27" i="10"/>
  <c r="H25" i="10"/>
  <c r="H24" i="10"/>
  <c r="H23" i="10"/>
  <c r="H21" i="10"/>
  <c r="H20" i="10"/>
  <c r="H19" i="10"/>
  <c r="H18" i="10"/>
  <c r="H17" i="10"/>
  <c r="H16" i="10"/>
  <c r="E116" i="10"/>
  <c r="E114" i="10"/>
  <c r="E113" i="10"/>
  <c r="E112" i="10"/>
  <c r="E111" i="10"/>
  <c r="E110" i="10"/>
  <c r="E109" i="10"/>
  <c r="E108" i="10"/>
  <c r="E107" i="10"/>
  <c r="E106" i="10"/>
  <c r="E105" i="10"/>
  <c r="E104" i="10"/>
  <c r="E103" i="10"/>
  <c r="E102" i="10"/>
  <c r="E101" i="10"/>
  <c r="E100" i="10"/>
  <c r="E98" i="10"/>
  <c r="E97" i="10"/>
  <c r="E96" i="10"/>
  <c r="E95" i="10"/>
  <c r="E94" i="10"/>
  <c r="E93" i="10"/>
  <c r="E92" i="10"/>
  <c r="E91" i="10"/>
  <c r="E90" i="10"/>
  <c r="E89" i="10"/>
  <c r="E88" i="10"/>
  <c r="E87" i="10"/>
  <c r="E86" i="10"/>
  <c r="E85" i="10"/>
  <c r="E84" i="10"/>
  <c r="E83" i="10"/>
  <c r="E82" i="10"/>
  <c r="E81" i="10"/>
  <c r="E80" i="10"/>
  <c r="E79" i="10"/>
  <c r="E78" i="10"/>
  <c r="E70" i="10"/>
  <c r="E69" i="10"/>
  <c r="E68" i="10"/>
  <c r="E67" i="10"/>
  <c r="E66" i="10"/>
  <c r="E65" i="10"/>
  <c r="E63" i="10"/>
  <c r="E62" i="10"/>
  <c r="E61" i="10"/>
  <c r="E60" i="10"/>
  <c r="E59" i="10"/>
  <c r="E58" i="10"/>
  <c r="E56" i="10"/>
  <c r="E55" i="10"/>
  <c r="E54" i="10"/>
  <c r="E53" i="10"/>
  <c r="E52" i="10"/>
  <c r="E51" i="10"/>
  <c r="E42" i="10"/>
  <c r="E41" i="10"/>
  <c r="E39" i="10"/>
  <c r="E38" i="10"/>
  <c r="E37" i="10"/>
  <c r="E35" i="10"/>
  <c r="E34" i="10"/>
  <c r="E33" i="10"/>
  <c r="E32" i="10"/>
  <c r="E31" i="10"/>
  <c r="E30" i="10"/>
  <c r="E28" i="10"/>
  <c r="E27" i="10"/>
  <c r="E25" i="10"/>
  <c r="E24" i="10"/>
  <c r="E23" i="10"/>
  <c r="E21" i="10"/>
  <c r="E20" i="10"/>
  <c r="E19" i="10"/>
  <c r="E18" i="10"/>
  <c r="E17" i="10"/>
  <c r="E16" i="10"/>
  <c r="L136" i="10" l="1"/>
  <c r="H136" i="10"/>
  <c r="E136" i="10"/>
  <c r="I2" i="12"/>
  <c r="G7" i="10"/>
  <c r="M6" i="10"/>
  <c r="F7" i="10"/>
  <c r="H3" i="10" l="1"/>
  <c r="E2" i="7"/>
  <c r="F2" i="1"/>
  <c r="D6" i="10"/>
  <c r="K6" i="10"/>
  <c r="E6" i="10"/>
  <c r="G6" i="10"/>
  <c r="H6" i="10"/>
  <c r="I6" i="10"/>
  <c r="J6" i="10"/>
  <c r="F6" i="10"/>
  <c r="L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Sandhya Ravishankar</author>
    <author>Adis Halilovic</author>
    <author>uidw2629</author>
    <author>R. Freitas</author>
    <author>Mutschler, Matthias</author>
  </authors>
  <commentList>
    <comment ref="F7" authorId="0" shapeId="0" xr:uid="{00000000-0006-0000-0100-000001000000}">
      <text>
        <r>
          <rPr>
            <b/>
            <sz val="9"/>
            <color indexed="81"/>
            <rFont val="Tahoma"/>
            <family val="2"/>
          </rPr>
          <t>Sum of all critical QAC warnings (non TBD/NA values).</t>
        </r>
      </text>
    </comment>
    <comment ref="G7" authorId="0" shapeId="0" xr:uid="{00000000-0006-0000-0100-000002000000}">
      <text>
        <r>
          <rPr>
            <b/>
            <sz val="9"/>
            <color indexed="81"/>
            <rFont val="Tahoma"/>
            <family val="2"/>
          </rPr>
          <t>Sum of all mandatory QAC warnings (non TBD/NA values).</t>
        </r>
      </text>
    </comment>
    <comment ref="D9" authorId="1" shapeId="0" xr:uid="{00000000-0006-0000-0100-000003000000}">
      <text>
        <r>
          <rPr>
            <b/>
            <sz val="9"/>
            <color indexed="81"/>
            <rFont val="Tahoma"/>
            <family val="2"/>
          </rPr>
          <t>Instruction:</t>
        </r>
        <r>
          <rPr>
            <sz val="9"/>
            <color indexed="81"/>
            <rFont val="Tahoma"/>
            <family val="2"/>
          </rPr>
          <t xml:space="preserve">
0: document/task was not done
1: document/task was done
NA: not applicable, comment mandatory</t>
        </r>
      </text>
    </comment>
    <comment ref="E9" authorId="1" shapeId="0" xr:uid="{00000000-0006-0000-0100-000004000000}">
      <text>
        <r>
          <rPr>
            <b/>
            <sz val="9"/>
            <color indexed="81"/>
            <rFont val="Tahoma"/>
            <family val="2"/>
          </rPr>
          <t xml:space="preserve">Instruction:
</t>
        </r>
        <r>
          <rPr>
            <sz val="9"/>
            <color indexed="81"/>
            <rFont val="Tahoma"/>
            <family val="2"/>
          </rPr>
          <t>0: review was not performed
&lt;Review-Id&gt;: review was performed
NA: not applicable, comment mandatory</t>
        </r>
      </text>
    </comment>
    <comment ref="F9" authorId="2" shapeId="0" xr:uid="{00000000-0006-0000-0100-000005000000}">
      <text>
        <r>
          <rPr>
            <b/>
            <sz val="9"/>
            <color indexed="81"/>
            <rFont val="Tahoma"/>
            <family val="2"/>
          </rPr>
          <t>Instruction:</t>
        </r>
        <r>
          <rPr>
            <sz val="9"/>
            <color indexed="81"/>
            <rFont val="Tahoma"/>
            <family val="2"/>
          </rPr>
          <t xml:space="preserve">
The number of warnings depends on the project. The maximum number of warnings present in any of the projects shall be documented here.
</t>
        </r>
        <r>
          <rPr>
            <b/>
            <sz val="9"/>
            <color indexed="81"/>
            <rFont val="Tahoma"/>
            <family val="2"/>
          </rPr>
          <t>Example:</t>
        </r>
        <r>
          <rPr>
            <sz val="9"/>
            <color indexed="81"/>
            <rFont val="Tahoma"/>
            <family val="2"/>
          </rPr>
          <t xml:space="preserve">
Project A: no warnings
Project B: 2 critical
Project C: 3 critical. 
Critical = 3</t>
        </r>
      </text>
    </comment>
    <comment ref="H9" authorId="1" shapeId="0" xr:uid="{00000000-0006-0000-0100-000006000000}">
      <text>
        <r>
          <rPr>
            <b/>
            <sz val="9"/>
            <color indexed="81"/>
            <rFont val="Tahoma"/>
            <family val="2"/>
          </rPr>
          <t>Instruction:</t>
        </r>
        <r>
          <rPr>
            <sz val="9"/>
            <color indexed="81"/>
            <rFont val="Tahoma"/>
            <family val="2"/>
          </rPr>
          <t xml:space="preserve">
0: review was not performed
&lt;Review-Id&gt;: review was performed
NA: not applicable, comment mandatory
</t>
        </r>
        <r>
          <rPr>
            <b/>
            <sz val="9"/>
            <color indexed="81"/>
            <rFont val="Tahoma"/>
            <family val="2"/>
          </rPr>
          <t xml:space="preserve">Note:
</t>
        </r>
        <r>
          <rPr>
            <sz val="9"/>
            <color indexed="81"/>
            <rFont val="Tahoma"/>
            <family val="2"/>
          </rPr>
          <t>For manually writen code
- Code Review ID
For generated code 
- Configuration Review ID</t>
        </r>
      </text>
    </comment>
    <comment ref="F10" authorId="1" shapeId="0" xr:uid="{00000000-0006-0000-0100-000007000000}">
      <text>
        <r>
          <rPr>
            <b/>
            <sz val="9"/>
            <color indexed="81"/>
            <rFont val="Tahoma"/>
            <family val="2"/>
          </rPr>
          <t>Instruction:</t>
        </r>
        <r>
          <rPr>
            <sz val="9"/>
            <color indexed="81"/>
            <rFont val="Tahoma"/>
            <family val="2"/>
          </rPr>
          <t xml:space="preserve">
If the static analysis was 
a) executed: number of </t>
        </r>
        <r>
          <rPr>
            <b/>
            <u/>
            <sz val="9"/>
            <color indexed="81"/>
            <rFont val="Tahoma"/>
            <family val="2"/>
          </rPr>
          <t>critical</t>
        </r>
        <r>
          <rPr>
            <sz val="9"/>
            <color indexed="81"/>
            <rFont val="Tahoma"/>
            <family val="2"/>
          </rPr>
          <t xml:space="preserve"> findings
b) </t>
        </r>
        <r>
          <rPr>
            <b/>
            <u/>
            <sz val="9"/>
            <color indexed="81"/>
            <rFont val="Tahoma"/>
            <family val="2"/>
          </rPr>
          <t>not</t>
        </r>
        <r>
          <rPr>
            <sz val="9"/>
            <color indexed="81"/>
            <rFont val="Tahoma"/>
            <family val="2"/>
          </rPr>
          <t xml:space="preserve"> executed
 - but should be executed: TBD (to be defined)
 - should not be executed: NA (not applicable, comment mandatory)</t>
        </r>
      </text>
    </comment>
    <comment ref="G10" authorId="1" shapeId="0" xr:uid="{00000000-0006-0000-0100-000008000000}">
      <text>
        <r>
          <rPr>
            <b/>
            <sz val="9"/>
            <color indexed="81"/>
            <rFont val="Tahoma"/>
            <family val="2"/>
          </rPr>
          <t>Instruction:</t>
        </r>
        <r>
          <rPr>
            <sz val="9"/>
            <color indexed="81"/>
            <rFont val="Tahoma"/>
            <family val="2"/>
          </rPr>
          <t xml:space="preserve">
If the static analysis was 
a) executed: number of </t>
        </r>
        <r>
          <rPr>
            <b/>
            <u/>
            <sz val="9"/>
            <color indexed="81"/>
            <rFont val="Tahoma"/>
            <family val="2"/>
          </rPr>
          <t>mandatory</t>
        </r>
        <r>
          <rPr>
            <sz val="9"/>
            <color indexed="81"/>
            <rFont val="Tahoma"/>
            <family val="2"/>
          </rPr>
          <t xml:space="preserve"> findings
b) </t>
        </r>
        <r>
          <rPr>
            <b/>
            <u/>
            <sz val="9"/>
            <color indexed="81"/>
            <rFont val="Tahoma"/>
            <family val="2"/>
          </rPr>
          <t>not</t>
        </r>
        <r>
          <rPr>
            <sz val="9"/>
            <color indexed="81"/>
            <rFont val="Tahoma"/>
            <family val="2"/>
          </rPr>
          <t xml:space="preserve"> executed: 
 - but should be executed: TBD (to be defined)
 - should not be executed: NA (not applicable, comment mandatory)</t>
        </r>
      </text>
    </comment>
    <comment ref="I10" authorId="1" shapeId="0" xr:uid="{00000000-0006-0000-0100-000009000000}">
      <text>
        <r>
          <rPr>
            <b/>
            <sz val="9"/>
            <color indexed="81"/>
            <rFont val="Tahoma"/>
            <family val="2"/>
          </rPr>
          <t>Instruction:</t>
        </r>
        <r>
          <rPr>
            <sz val="9"/>
            <color indexed="81"/>
            <rFont val="Tahoma"/>
            <family val="2"/>
          </rPr>
          <t xml:space="preserve">
The objective of this coverage metric is to execute each statement at least once. 
If the dynamic module test was
a) executed: achieved statement coverage in % (without "%" e.g. 90, 80)
b) </t>
        </r>
        <r>
          <rPr>
            <b/>
            <u/>
            <sz val="9"/>
            <color indexed="81"/>
            <rFont val="Tahoma"/>
            <family val="2"/>
          </rPr>
          <t>not</t>
        </r>
        <r>
          <rPr>
            <sz val="9"/>
            <color indexed="81"/>
            <rFont val="Tahoma"/>
            <family val="2"/>
          </rPr>
          <t xml:space="preserve"> executed
 - but should be executed: 0 (without "%")
 - and should not be executed: NA (not applicable, comment mandatory)</t>
        </r>
      </text>
    </comment>
    <comment ref="J10" authorId="1" shapeId="0" xr:uid="{00000000-0006-0000-0100-00000A000000}">
      <text>
        <r>
          <rPr>
            <b/>
            <sz val="9"/>
            <color indexed="81"/>
            <rFont val="Tahoma"/>
            <family val="2"/>
          </rPr>
          <t xml:space="preserve">Instruction:
</t>
        </r>
        <r>
          <rPr>
            <sz val="9"/>
            <color indexed="81"/>
            <rFont val="Tahoma"/>
            <family val="2"/>
          </rPr>
          <t xml:space="preserve">The objective of this coverage metric is to execute every point of entry and exit (branch) at least once, i.e. every decision in the program has taken all possible outcomes at least once. 
If the dynamic module test was 
a) executed: achieved branch coverage in % (without "%" e.g. 90, 80)
b) </t>
        </r>
        <r>
          <rPr>
            <b/>
            <u/>
            <sz val="9"/>
            <color indexed="81"/>
            <rFont val="Tahoma"/>
            <family val="2"/>
          </rPr>
          <t>not</t>
        </r>
        <r>
          <rPr>
            <sz val="9"/>
            <color indexed="81"/>
            <rFont val="Tahoma"/>
            <family val="2"/>
          </rPr>
          <t xml:space="preserve"> executed:
 - but should be executed: 0 (without "%")
 - and should not be executed: NA (not applicable, comment mandatory)</t>
        </r>
      </text>
    </comment>
    <comment ref="K10" authorId="1" shapeId="0" xr:uid="{00000000-0006-0000-0100-00000B000000}">
      <text>
        <r>
          <rPr>
            <b/>
            <sz val="9"/>
            <color indexed="81"/>
            <rFont val="Tahoma"/>
            <family val="2"/>
          </rPr>
          <t xml:space="preserve">Instruction:
</t>
        </r>
        <r>
          <rPr>
            <sz val="9"/>
            <color indexed="81"/>
            <rFont val="Tahoma"/>
            <family val="2"/>
          </rPr>
          <t xml:space="preserve">If the dynamic module test was 
a) executed: passed test cases/all test cases in % (without "%" e.g. 90, 80)
b) </t>
        </r>
        <r>
          <rPr>
            <b/>
            <u/>
            <sz val="9"/>
            <color indexed="81"/>
            <rFont val="Tahoma"/>
            <family val="2"/>
          </rPr>
          <t>not</t>
        </r>
        <r>
          <rPr>
            <sz val="9"/>
            <color indexed="81"/>
            <rFont val="Tahoma"/>
            <family val="2"/>
          </rPr>
          <t xml:space="preserve"> executed:
 - but should be executed: 0 (without "%")
 - and should not be executed: NA (not applicable, comment mandatory)</t>
        </r>
      </text>
    </comment>
    <comment ref="L10" authorId="3" shapeId="0" xr:uid="{00000000-0006-0000-0100-00000C000000}">
      <text>
        <r>
          <rPr>
            <b/>
            <sz val="9"/>
            <color indexed="81"/>
            <rFont val="Tahoma"/>
            <family val="2"/>
          </rPr>
          <t>Instruction:</t>
        </r>
        <r>
          <rPr>
            <sz val="9"/>
            <color indexed="81"/>
            <rFont val="Tahoma"/>
            <family val="2"/>
          </rPr>
          <t xml:space="preserve">
0: review was not performed
&lt;Review-Id&gt;: review was performed
NA: not applicable, comment mandatory</t>
        </r>
      </text>
    </comment>
    <comment ref="E12" authorId="4" shapeId="0" xr:uid="{D8E05CFC-17DE-4189-AD14-C69D5EECFB0D}">
      <text>
        <r>
          <rPr>
            <b/>
            <sz val="9"/>
            <color indexed="81"/>
            <rFont val="Segoe UI"/>
            <charset val="1"/>
          </rPr>
          <t>All Reviews:_x000D_
5901377:1.4</t>
        </r>
      </text>
    </comment>
    <comment ref="H12" authorId="4" shapeId="0" xr:uid="{F165AE9B-9CF1-498C-A594-808E8193E8A9}">
      <text>
        <r>
          <rPr>
            <b/>
            <sz val="9"/>
            <color indexed="81"/>
            <rFont val="Segoe UI"/>
            <charset val="1"/>
          </rPr>
          <t>All Reviews:_x000D_
5901364:1.4</t>
        </r>
      </text>
    </comment>
    <comment ref="L12" authorId="4" shapeId="0" xr:uid="{796D6B81-BCC7-4D6D-A263-869230CD84DB}">
      <text>
        <r>
          <rPr>
            <b/>
            <sz val="9"/>
            <color indexed="81"/>
            <rFont val="Segoe UI"/>
            <charset val="1"/>
          </rPr>
          <t>All Reviews:_x000D_
5901398:1.4</t>
        </r>
      </text>
    </comment>
    <comment ref="E14" authorId="4" shapeId="0" xr:uid="{0E966BAA-F8F1-4EA3-A33C-DA36F490B20B}">
      <text>
        <r>
          <rPr>
            <b/>
            <sz val="9"/>
            <color indexed="81"/>
            <rFont val="Segoe UI"/>
            <charset val="1"/>
          </rPr>
          <t>All Reviews:_x000D_
5985824:1.8_x000D_
5873340:1.7_x000D_
5873340:1.6</t>
        </r>
      </text>
    </comment>
    <comment ref="H14" authorId="4" shapeId="0" xr:uid="{8A2B8A60-8768-46B1-ACC2-345B4553DB71}">
      <text>
        <r>
          <rPr>
            <b/>
            <sz val="9"/>
            <color indexed="81"/>
            <rFont val="Segoe UI"/>
            <charset val="1"/>
          </rPr>
          <t>All Reviews:_x000D_
5985814:1.8_x000D_
5873328:1.7_x000D_
5873328:1.6</t>
        </r>
      </text>
    </comment>
    <comment ref="E15" authorId="4" shapeId="0" xr:uid="{FC8C570A-3013-4D55-93CD-FA1BA93CAE83}">
      <text>
        <r>
          <rPr>
            <b/>
            <sz val="9"/>
            <color indexed="81"/>
            <rFont val="Segoe UI"/>
            <charset val="1"/>
          </rPr>
          <t>All Reviews:_x000D_
6669828:1.12_x000D_
6542376:1.11_x000D_
6517139:1.11_x000D_
6349402:1.10_x000D_
6220529:1.9_x000D_
6154983:1.7_x000D_
6133076:1.7_x000D_
6133076:1.8_x000D_
6013212:1.6_x000D_
6013212:1.7_x000D_
5960572:1.6_x000D_
5901377:1.6_x000D_
5901377:1.5_x000D_
5873340:1.4_x000D_
5812620:1.3</t>
        </r>
      </text>
    </comment>
    <comment ref="H15" authorId="4" shapeId="0" xr:uid="{57E3BAD0-0F79-49D0-B32F-FC858B87F669}">
      <text>
        <r>
          <rPr>
            <b/>
            <sz val="9"/>
            <color indexed="81"/>
            <rFont val="Segoe UI"/>
            <charset val="1"/>
          </rPr>
          <t>All Reviews:_x000D_
6669809:1.12_x000D_
6542335:1.11_x000D_
6517107:1.11_x000D_
6349391:1.10_x000D_
6220510:1.9_x000D_
6154950:1.7_x000D_
6133042:1.7_x000D_
6133042:1.8_x000D_
6013186:1.6_x000D_
6013186:1.7_x000D_
5960698:1.6_x000D_
5901364:1.6_x000D_
5901364:1.5_x000D_
5873328:1.4_x000D_
5812496:1.3</t>
        </r>
      </text>
    </comment>
    <comment ref="L15" authorId="4" shapeId="0" xr:uid="{D55E29D2-E8F0-4760-8796-CA1034AD12CD}">
      <text>
        <r>
          <rPr>
            <b/>
            <sz val="9"/>
            <color indexed="81"/>
            <rFont val="Segoe UI"/>
            <charset val="1"/>
          </rPr>
          <t>All Reviews:_x000D_
6669839:1.12_x000D_
6542413:1.11_x000D_
6517163:1.11_x000D_
6349413:1.10_x000D_
6220552:1.9_x000D_
6133092:1.7_x000D_
6133092:1.8_x000D_
6013226:1.6_x000D_
6013226:1.7_x000D_
5960900:1.6_x000D_
5782725:1.2</t>
        </r>
      </text>
    </comment>
    <comment ref="E16" authorId="4" shapeId="0" xr:uid="{27EDAE85-2A61-485E-97C1-DFBAD0EE2A9A}">
      <text>
        <r>
          <rPr>
            <b/>
            <sz val="9"/>
            <color indexed="81"/>
            <rFont val="Segoe UI"/>
            <charset val="1"/>
          </rPr>
          <t>All Reviews:_x000D_
6669828:1.10_x000D_
6542376:1.9_x000D_
6517139:1.9_x000D_
6349402:1.8_x000D_
6220529:1.7_x000D_
6013212:1.5_x000D_
6013212:1.6_x000D_
5901377:1.5_x000D_
5901377:1.4_x000D_
5812620:1.3</t>
        </r>
      </text>
    </comment>
    <comment ref="H16" authorId="4" shapeId="0" xr:uid="{3AFA2EF8-8B93-4B92-8BC5-E1D1EF4F9C3A}">
      <text>
        <r>
          <rPr>
            <b/>
            <sz val="9"/>
            <color indexed="81"/>
            <rFont val="Segoe UI"/>
            <charset val="1"/>
          </rPr>
          <t>All Reviews:_x000D_
6669809:1.10_x000D_
6542335:1.9_x000D_
6517107:1.9_x000D_
6349391:1.8_x000D_
6220510:1.7_x000D_
6013186:1.5_x000D_
6013186:1.6_x000D_
5901364:1.5_x000D_
5901364:1.4_x000D_
5812496:1.3</t>
        </r>
      </text>
    </comment>
    <comment ref="L16" authorId="4" shapeId="0" xr:uid="{58B62AAA-DA05-4788-8F6D-448FAAA816F6}">
      <text>
        <r>
          <rPr>
            <b/>
            <sz val="9"/>
            <color indexed="81"/>
            <rFont val="Segoe UI"/>
            <charset val="1"/>
          </rPr>
          <t>All Reviews:_x000D_
6669839:1.10_x000D_
6542413:1.9_x000D_
6517163:1.9_x000D_
6349413:1.8_x000D_
6220552:1.7_x000D_
6013226:1.5_x000D_
6013226:1.6</t>
        </r>
      </text>
    </comment>
    <comment ref="E17" authorId="4" shapeId="0" xr:uid="{F2D62CED-592A-4771-85E1-88FF49048156}">
      <text>
        <r>
          <rPr>
            <b/>
            <sz val="9"/>
            <color indexed="81"/>
            <rFont val="Segoe UI"/>
            <charset val="1"/>
          </rPr>
          <t>All Reviews:_x000D_
6542376:1.15_x000D_
6517139:1.15_x000D_
6446255:1.13_x000D_
6419402:1.12_x000D_
6386427:1.11_x000D_
6285701:1.9_x000D_
6285442:1.9_x000D_
6100086:1.7_x000D_
6100086:1.8_x000D_
6013212:1.6.1.1_x000D_
6013212:1.7_x000D_
5960572:1.6_x000D_
5928031:1.6.1.1_x000D_
5873340:1.5_x000D_
5873340:1.4_x000D_
5782684:1.3</t>
        </r>
      </text>
    </comment>
    <comment ref="H17" authorId="4" shapeId="0" xr:uid="{3052D295-CB9E-425C-A6AF-0DF0C9CF83A0}">
      <text>
        <r>
          <rPr>
            <b/>
            <sz val="9"/>
            <color indexed="81"/>
            <rFont val="Segoe UI"/>
            <charset val="1"/>
          </rPr>
          <t>All Reviews:_x000D_
6542335:1.15_x000D_
6517107:1.15_x000D_
6446296:1.13_x000D_
6419371:1.12_x000D_
6386350:1.11_x000D_
6285684:1.9_x000D_
6285420:1.9_x000D_
6100054:1.7_x000D_
6100054:1.8_x000D_
6013186:1.6.1.1_x000D_
6013186:1.7_x000D_
5960698:1.6_x000D_
5928016:1.6.1.1_x000D_
5873328:1.4_x000D_
5873328:1.5_x000D_
5782710:1.3</t>
        </r>
      </text>
    </comment>
    <comment ref="L17" authorId="4" shapeId="0" xr:uid="{6432BBC8-7E98-4B4D-88F8-EB4A59CEFA5C}">
      <text>
        <r>
          <rPr>
            <b/>
            <sz val="9"/>
            <color indexed="81"/>
            <rFont val="Segoe UI"/>
            <charset val="1"/>
          </rPr>
          <t>All Reviews:_x000D_
6542413:1.15_x000D_
6517163:1.15_x000D_
6419433:1.12_x000D_
6386460:1.11_x000D_
6285497:1.9_x000D_
6285718:1.9_x000D_
6100112:1.7_x000D_
6100112:1.8_x000D_
6013226:1.6.1.1_x000D_
6013226:1.7_x000D_
5960900:1.6_x000D_
5782725:1.3</t>
        </r>
      </text>
    </comment>
    <comment ref="E18" authorId="4" shapeId="0" xr:uid="{B7739217-F7BD-48FB-A07D-2CCFFD9D64C8}">
      <text>
        <r>
          <rPr>
            <b/>
            <sz val="9"/>
            <color indexed="81"/>
            <rFont val="Segoe UI"/>
            <charset val="1"/>
          </rPr>
          <t>All Reviews:_x000D_
6542376:1.14_x000D_
6517139:1.14_x000D_
6446255:1.13_x000D_
6419402:1.12_x000D_
6386427:1.9_x000D_
6285701:1.8_x000D_
6285442:1.8_x000D_
6100086:1.6_x000D_
6100086:1.7_x000D_
6013212:1.5_x000D_
6013212:1.6_x000D_
5960572:1.5_x000D_
5873340:1.4_x000D_
5782684:1.3</t>
        </r>
      </text>
    </comment>
    <comment ref="H18" authorId="4" shapeId="0" xr:uid="{CB942D4E-96FB-4706-972D-B815DBD3451F}">
      <text>
        <r>
          <rPr>
            <b/>
            <sz val="9"/>
            <color indexed="81"/>
            <rFont val="Segoe UI"/>
            <charset val="1"/>
          </rPr>
          <t>All Reviews:_x000D_
6542335:1.14_x000D_
6517107:1.14_x000D_
6446296:1.13_x000D_
6419371:1.12_x000D_
6386350:1.9_x000D_
6285684:1.8_x000D_
6285420:1.8_x000D_
6100054:1.6_x000D_
6100054:1.7_x000D_
6013186:1.5_x000D_
6013186:1.6_x000D_
5960698:1.5_x000D_
5873328:1.4_x000D_
5782710:1.3</t>
        </r>
      </text>
    </comment>
    <comment ref="L18" authorId="4" shapeId="0" xr:uid="{28504644-0C00-4A78-9257-CB3240E07905}">
      <text>
        <r>
          <rPr>
            <b/>
            <sz val="9"/>
            <color indexed="81"/>
            <rFont val="Segoe UI"/>
            <charset val="1"/>
          </rPr>
          <t>All Reviews:_x000D_
6542413:1.14_x000D_
6517163:1.14_x000D_
6419433:1.12_x000D_
6386460:1.9_x000D_
6285497:1.8_x000D_
6285718:1.8_x000D_
6100112:1.6_x000D_
6100112:1.7_x000D_
6013226:1.5_x000D_
6013226:1.6_x000D_
5960900:1.5</t>
        </r>
      </text>
    </comment>
    <comment ref="E19" authorId="4" shapeId="0" xr:uid="{312B5B9E-F816-43BE-A1AA-760CC03B925C}">
      <text>
        <r>
          <rPr>
            <b/>
            <sz val="9"/>
            <color indexed="81"/>
            <rFont val="Segoe UI"/>
            <charset val="1"/>
          </rPr>
          <t>All Reviews:_x000D_
6542376:1.10_x000D_
6517139:1.10_x000D_
6349402:1.9_x000D_
6256147:1.8_x000D_
6252261:1.8_x000D_
6041848:1.4_x000D_
6041848:1.7_x000D_
5597944:1.4</t>
        </r>
      </text>
    </comment>
    <comment ref="H19" authorId="4" shapeId="0" xr:uid="{B2F6C822-D280-436D-B377-8BF577651A13}">
      <text>
        <r>
          <rPr>
            <b/>
            <sz val="9"/>
            <color indexed="81"/>
            <rFont val="Segoe UI"/>
            <charset val="1"/>
          </rPr>
          <t>All Reviews:_x000D_
6542335:1.10_x000D_
6517107:1.10_x000D_
6349391:1.9_x000D_
6256106:1.8_x000D_
6252219:1.8_x000D_
6041805:1.4_x000D_
6041805:1.7_x000D_
5597881:1.4_x000D_
5574505:1.3</t>
        </r>
      </text>
    </comment>
    <comment ref="L19" authorId="4" shapeId="0" xr:uid="{23070868-CE4F-44AF-BA2A-CFC8D3F83E8C}">
      <text>
        <r>
          <rPr>
            <b/>
            <sz val="9"/>
            <color indexed="81"/>
            <rFont val="Segoe UI"/>
            <charset val="1"/>
          </rPr>
          <t>All Reviews:_x000D_
6542413:1.10_x000D_
6517163:1.10_x000D_
6349413:1.9_x000D_
6252299:1.8_x000D_
6256213:1.8_x000D_
6041859:1.4_x000D_
6041859:1.7_x000D_
5782725:1.4</t>
        </r>
      </text>
    </comment>
    <comment ref="E20" authorId="4" shapeId="0" xr:uid="{EBD78324-5EE6-4387-AA1A-544FA8DDDEDA}">
      <text>
        <r>
          <rPr>
            <b/>
            <sz val="9"/>
            <color indexed="81"/>
            <rFont val="Segoe UI"/>
            <charset val="1"/>
          </rPr>
          <t>All Reviews:_x000D_
6542376:1.6_x000D_
6517139:1.6_x000D_
6013212:1.5_x000D_
6013212:1.4_x000D_
5901377:1.4_x000D_
5597944:1.3</t>
        </r>
      </text>
    </comment>
    <comment ref="H20" authorId="4" shapeId="0" xr:uid="{44F05FD6-9B74-4AFA-83F4-388476C98394}">
      <text>
        <r>
          <rPr>
            <b/>
            <sz val="9"/>
            <color indexed="81"/>
            <rFont val="Segoe UI"/>
            <charset val="1"/>
          </rPr>
          <t>All Reviews:_x000D_
6542335:1.6_x000D_
6517107:1.6_x000D_
6013186:1.4_x000D_
6013186:1.5_x000D_
5901364:1.4_x000D_
5597881:1.3</t>
        </r>
      </text>
    </comment>
    <comment ref="L20" authorId="4" shapeId="0" xr:uid="{50B56697-E669-4D6A-8F58-9829F35C9DAE}">
      <text>
        <r>
          <rPr>
            <b/>
            <sz val="9"/>
            <color indexed="81"/>
            <rFont val="Segoe UI"/>
            <charset val="1"/>
          </rPr>
          <t>All Reviews:_x000D_
6542413:1.6_x000D_
6517163:1.6_x000D_
6013226:1.4_x000D_
6013226:1.5</t>
        </r>
      </text>
    </comment>
    <comment ref="E21" authorId="4" shapeId="0" xr:uid="{9AF54106-BB38-463C-8931-5005D9A55E43}">
      <text>
        <r>
          <rPr>
            <b/>
            <sz val="9"/>
            <color indexed="81"/>
            <rFont val="Segoe UI"/>
            <charset val="1"/>
          </rPr>
          <t>All Reviews:_x000D_
6542376:1.8_x000D_
6517139:1.8_x000D_
6419402:1.6_x000D_
6100086:1.4.2.1_x000D_
6100086:1.5_x000D_
5750786:1.4.2.1_x000D_
5750786:1.4.1.1_x000D_
5750786:1.4_x000D_
5597944:1.3</t>
        </r>
      </text>
    </comment>
    <comment ref="H21" authorId="4" shapeId="0" xr:uid="{9EF5DB9B-C5FD-4F5B-9CCB-630EE4CAE66E}">
      <text>
        <r>
          <rPr>
            <b/>
            <sz val="9"/>
            <color indexed="81"/>
            <rFont val="Segoe UI"/>
            <charset val="1"/>
          </rPr>
          <t>All Reviews:_x000D_
6542335:1.8_x000D_
6517107:1.8_x000D_
6419371:1.6_x000D_
6100054:1.4.2.1_x000D_
6100054:1.5_x000D_
5750764:1.4.2.1_x000D_
5750764:1.4.1.1_x000D_
5750764:1.4_x000D_
5597881:1.3</t>
        </r>
      </text>
    </comment>
    <comment ref="L21" authorId="4" shapeId="0" xr:uid="{6E37A373-9152-4EC2-B49A-05154B268395}">
      <text>
        <r>
          <rPr>
            <b/>
            <sz val="9"/>
            <color indexed="81"/>
            <rFont val="Segoe UI"/>
            <charset val="1"/>
          </rPr>
          <t>All Reviews:_x000D_
6542413:1.8_x000D_
6517163:1.8_x000D_
6419433:1.6_x000D_
6100112:1.4.2.1_x000D_
6100112:1.5</t>
        </r>
      </text>
    </comment>
    <comment ref="E22" authorId="4" shapeId="0" xr:uid="{4AD3C25E-10AF-4B40-BB3C-7836AA5AE401}">
      <text>
        <r>
          <rPr>
            <b/>
            <sz val="9"/>
            <color indexed="81"/>
            <rFont val="Segoe UI"/>
            <charset val="1"/>
          </rPr>
          <t>All Reviews:_x000D_
7096947:1.11.2.1</t>
        </r>
      </text>
    </comment>
    <comment ref="H22" authorId="4" shapeId="0" xr:uid="{5B683BA8-9DD2-44E5-B31C-071D0BAFB588}">
      <text>
        <r>
          <rPr>
            <b/>
            <sz val="9"/>
            <color indexed="81"/>
            <rFont val="Segoe UI"/>
            <charset val="1"/>
          </rPr>
          <t>All Reviews:_x000D_
7096914:1.11.2.1</t>
        </r>
      </text>
    </comment>
    <comment ref="E23" authorId="4" shapeId="0" xr:uid="{FFF0F34E-2525-4EEA-98A2-453C73CDAA51}">
      <text>
        <r>
          <rPr>
            <b/>
            <sz val="9"/>
            <color indexed="81"/>
            <rFont val="Segoe UI"/>
            <charset val="1"/>
          </rPr>
          <t>All Reviews:_x000D_
7096947:1.9</t>
        </r>
      </text>
    </comment>
    <comment ref="H23" authorId="4" shapeId="0" xr:uid="{1BAA066D-3E0A-4020-A9AE-717437F29FB9}">
      <text>
        <r>
          <rPr>
            <b/>
            <sz val="9"/>
            <color indexed="81"/>
            <rFont val="Segoe UI"/>
            <charset val="1"/>
          </rPr>
          <t>All Reviews:_x000D_
7096914:1.9</t>
        </r>
      </text>
    </comment>
    <comment ref="E24" authorId="4" shapeId="0" xr:uid="{76576545-3B97-41AF-8233-D0B6C7DBBE9C}">
      <text>
        <r>
          <rPr>
            <b/>
            <sz val="9"/>
            <color indexed="81"/>
            <rFont val="Segoe UI"/>
            <charset val="1"/>
          </rPr>
          <t>All Reviews:_x000D_
7096947:1.15</t>
        </r>
      </text>
    </comment>
    <comment ref="H24" authorId="4" shapeId="0" xr:uid="{C57EE42A-C9B8-4328-98FE-B29A3E71E0DF}">
      <text>
        <r>
          <rPr>
            <b/>
            <sz val="9"/>
            <color indexed="81"/>
            <rFont val="Segoe UI"/>
            <charset val="1"/>
          </rPr>
          <t>All Reviews:_x000D_
7096914:1.15</t>
        </r>
      </text>
    </comment>
    <comment ref="E25" authorId="4" shapeId="0" xr:uid="{A37DB82F-B06A-4060-8A11-D96336FCFBAE}">
      <text>
        <r>
          <rPr>
            <b/>
            <sz val="9"/>
            <color indexed="81"/>
            <rFont val="Segoe UI"/>
            <charset val="1"/>
          </rPr>
          <t>All Reviews:_x000D_
7096947:1.14</t>
        </r>
      </text>
    </comment>
    <comment ref="H25" authorId="4" shapeId="0" xr:uid="{E95EDFA8-B827-4084-8667-0D84EBDC7BFB}">
      <text>
        <r>
          <rPr>
            <b/>
            <sz val="9"/>
            <color indexed="81"/>
            <rFont val="Segoe UI"/>
            <charset val="1"/>
          </rPr>
          <t>All Reviews:_x000D_
7096914:1.14</t>
        </r>
      </text>
    </comment>
    <comment ref="E26" authorId="4" shapeId="0" xr:uid="{D357CF5E-9050-4545-BAD1-8EB81F66EF17}">
      <text>
        <r>
          <rPr>
            <b/>
            <sz val="9"/>
            <color indexed="81"/>
            <rFont val="Segoe UI"/>
            <charset val="1"/>
          </rPr>
          <t>All Reviews:_x000D_
7167463:1.10.2.2_x000D_
7096947:1.10.2.1</t>
        </r>
      </text>
    </comment>
    <comment ref="H26" authorId="4" shapeId="0" xr:uid="{415D4B81-ACEC-4B2A-ABAA-58C34F3D5E63}">
      <text>
        <r>
          <rPr>
            <b/>
            <sz val="9"/>
            <color indexed="81"/>
            <rFont val="Segoe UI"/>
            <charset val="1"/>
          </rPr>
          <t>All Reviews:_x000D_
7167526:1.10.2.2_x000D_
7096914:1.10.2.1</t>
        </r>
      </text>
    </comment>
    <comment ref="E27" authorId="4" shapeId="0" xr:uid="{9A4B1686-6BEF-43B8-BF9D-6ABF2ABC8125}">
      <text>
        <r>
          <rPr>
            <b/>
            <sz val="9"/>
            <color indexed="81"/>
            <rFont val="Segoe UI"/>
            <charset val="1"/>
          </rPr>
          <t>All Reviews:_x000D_
7096947:1.6</t>
        </r>
      </text>
    </comment>
    <comment ref="H27" authorId="4" shapeId="0" xr:uid="{52E3FD73-F64D-4A08-BC07-E174D6A9B1AE}">
      <text>
        <r>
          <rPr>
            <b/>
            <sz val="9"/>
            <color indexed="81"/>
            <rFont val="Segoe UI"/>
            <charset val="1"/>
          </rPr>
          <t>All Reviews:_x000D_
7096914:1.6</t>
        </r>
      </text>
    </comment>
    <comment ref="E28" authorId="4" shapeId="0" xr:uid="{15A056F7-9180-42BE-AD38-012FEE118F45}">
      <text>
        <r>
          <rPr>
            <b/>
            <sz val="9"/>
            <color indexed="81"/>
            <rFont val="Segoe UI"/>
            <charset val="1"/>
          </rPr>
          <t>All Reviews:_x000D_
7096947:1.8.8.1</t>
        </r>
      </text>
    </comment>
    <comment ref="H28" authorId="4" shapeId="0" xr:uid="{A31B35C6-6E7E-47BB-A6A0-F46DECBFCD1B}">
      <text>
        <r>
          <rPr>
            <b/>
            <sz val="9"/>
            <color indexed="81"/>
            <rFont val="Segoe UI"/>
            <charset val="1"/>
          </rPr>
          <t>All Reviews:_x000D_
7096914:1.8.8.1</t>
        </r>
      </text>
    </comment>
    <comment ref="E29" authorId="4" shapeId="0" xr:uid="{88A70465-F5EE-491C-9E07-871ED379EC7E}">
      <text>
        <r>
          <rPr>
            <b/>
            <sz val="9"/>
            <color indexed="81"/>
            <rFont val="Segoe UI"/>
            <charset val="1"/>
          </rPr>
          <t>All Reviews:_x000D_
6669828:1.12_x000D_
6542376:1.11.1.1_x000D_
6517139:1.11.1.1_x000D_
6349402:1.9.3.2_x000D_
6220529:1.9.3.1_x000D_
6154983:1.7_x000D_
6133076:1.7_x000D_
6133076:1.8_x000D_
6013212:1.6_x000D_
6013212:1.7_x000D_
5960572:1.6_x000D_
5873340:1.2.1.3_x000D_
5812620:1.2.1.2_x000D_
5782684:1.2.1.1_x000D_
5750786:1.2</t>
        </r>
      </text>
    </comment>
    <comment ref="H29" authorId="4" shapeId="0" xr:uid="{D1567F8A-85D9-49B5-9975-2110356541BE}">
      <text>
        <r>
          <rPr>
            <b/>
            <sz val="9"/>
            <color indexed="81"/>
            <rFont val="Segoe UI"/>
            <charset val="1"/>
          </rPr>
          <t>All Reviews:_x000D_
6669809:1.12_x000D_
6542335:1.11.1.1_x000D_
6517107:1.11.1.1_x000D_
6349391:1.9.3.2_x000D_
6220510:1.9.3.1_x000D_
6154950:1.7_x000D_
6133042:1.7_x000D_
6133042:1.8_x000D_
6013186:1.6_x000D_
6013186:1.7_x000D_
5960698:1.6_x000D_
5873328:1.2.1.3_x000D_
5812496:1.2.1.2_x000D_
5782710:1.2.1.1_x000D_
5750764:1.2</t>
        </r>
      </text>
    </comment>
    <comment ref="L29" authorId="4" shapeId="0" xr:uid="{BBAEAA8E-2FE7-41C8-8F5B-F92A351B918B}">
      <text>
        <r>
          <rPr>
            <b/>
            <sz val="9"/>
            <color indexed="81"/>
            <rFont val="Segoe UI"/>
            <charset val="1"/>
          </rPr>
          <t>All Reviews:_x000D_
6669839:1.12_x000D_
6542413:1.11.1.1_x000D_
6517163:1.11.1.1_x000D_
6349413:1.9.3.2_x000D_
6220552:1.9.3.1_x000D_
6133092:1.7_x000D_
6133092:1.8_x000D_
6013226:1.6_x000D_
6013226:1.7_x000D_
5960900:1.6_x000D_
5782725:1.2.1.1</t>
        </r>
      </text>
    </comment>
    <comment ref="E30" authorId="4" shapeId="0" xr:uid="{954670EA-3871-4BEB-8E19-8DBB38C2016D}">
      <text>
        <r>
          <rPr>
            <b/>
            <sz val="9"/>
            <color indexed="81"/>
            <rFont val="Segoe UI"/>
            <charset val="1"/>
          </rPr>
          <t>All Reviews:_x000D_
6669828:1.10_x000D_
6542376:1.9_x000D_
6517139:1.9_x000D_
6349402:1.8_x000D_
6220529:1.7_x000D_
6013212:1.5_x000D_
6013212:1.6_x000D_
5750786:1.2</t>
        </r>
      </text>
    </comment>
    <comment ref="H30" authorId="4" shapeId="0" xr:uid="{23EB2B7D-D937-4A4C-880C-D815183B0826}">
      <text>
        <r>
          <rPr>
            <b/>
            <sz val="9"/>
            <color indexed="81"/>
            <rFont val="Segoe UI"/>
            <charset val="1"/>
          </rPr>
          <t>All Reviews:_x000D_
6669809:1.10_x000D_
6542335:1.9_x000D_
6517107:1.9_x000D_
6349391:1.8_x000D_
6220510:1.7_x000D_
6013186:1.5_x000D_
6013186:1.6_x000D_
5750764:1.2</t>
        </r>
      </text>
    </comment>
    <comment ref="L30" authorId="4" shapeId="0" xr:uid="{DF6A2CC1-DE44-4D4B-868B-0B7EB1CE6E78}">
      <text>
        <r>
          <rPr>
            <b/>
            <sz val="9"/>
            <color indexed="81"/>
            <rFont val="Segoe UI"/>
            <charset val="1"/>
          </rPr>
          <t>All Reviews:_x000D_
6669839:1.10_x000D_
6542413:1.9_x000D_
6517163:1.9_x000D_
6349413:1.8_x000D_
6220552:1.7_x000D_
6013226:1.5_x000D_
6013226:1.6</t>
        </r>
      </text>
    </comment>
    <comment ref="E31" authorId="4" shapeId="0" xr:uid="{45F71393-FF2A-4BF8-8CAA-DB60D5EEEB0D}">
      <text>
        <r>
          <rPr>
            <b/>
            <sz val="9"/>
            <color indexed="81"/>
            <rFont val="Segoe UI"/>
            <charset val="1"/>
          </rPr>
          <t>All Reviews:_x000D_
6542376:1.15_x000D_
6517139:1.15_x000D_
6446255:1.13_x000D_
6419402:1.12_x000D_
6386427:1.11_x000D_
6285442:1.9_x000D_
6100086:1.7_x000D_
6100086:1.8_x000D_
6013212:1.6_x000D_
6013212:1.7_x000D_
5960572:1.6_x000D_
5750786:1.2</t>
        </r>
      </text>
    </comment>
    <comment ref="H31" authorId="4" shapeId="0" xr:uid="{AF2073A6-3BB9-4546-B947-7CA1DC0F12DF}">
      <text>
        <r>
          <rPr>
            <b/>
            <sz val="9"/>
            <color indexed="81"/>
            <rFont val="Segoe UI"/>
            <charset val="1"/>
          </rPr>
          <t>All Reviews:_x000D_
6542335:1.15_x000D_
6517107:1.15_x000D_
6446296:1.13_x000D_
6419371:1.12_x000D_
6386350:1.11_x000D_
6285420:1.9_x000D_
6100054:1.7_x000D_
6100054:1.8_x000D_
6013186:1.6_x000D_
6013186:1.7_x000D_
5960698:1.6_x000D_
5750764:1.2</t>
        </r>
      </text>
    </comment>
    <comment ref="L31" authorId="4" shapeId="0" xr:uid="{AF104B82-9E1B-49E0-B5FD-DECCDD78584F}">
      <text>
        <r>
          <rPr>
            <b/>
            <sz val="9"/>
            <color indexed="81"/>
            <rFont val="Segoe UI"/>
            <charset val="1"/>
          </rPr>
          <t>All Reviews:_x000D_
6542413:1.15_x000D_
6517163:1.15_x000D_
6419433:1.12_x000D_
6386460:1.11_x000D_
6285497:1.9_x000D_
6100112:1.7_x000D_
6100112:1.8_x000D_
6013226:1.6_x000D_
6013226:1.7_x000D_
5960900:1.6_x000D_
5782725:1.2</t>
        </r>
      </text>
    </comment>
    <comment ref="E32" authorId="4" shapeId="0" xr:uid="{9156FBFB-ED9C-43DD-B25B-0BD1C5538075}">
      <text>
        <r>
          <rPr>
            <b/>
            <sz val="9"/>
            <color indexed="81"/>
            <rFont val="Segoe UI"/>
            <charset val="1"/>
          </rPr>
          <t>All Reviews:_x000D_
6542376:1.14_x000D_
6517139:1.14_x000D_
6446255:1.13_x000D_
6419402:1.12_x000D_
6386427:1.9_x000D_
6285442:1.8_x000D_
6100086:1.6_x000D_
6100086:1.7_x000D_
6013212:1.5_x000D_
6013212:1.6_x000D_
5960572:1.5_x000D_
5750786:1.2</t>
        </r>
      </text>
    </comment>
    <comment ref="H32" authorId="4" shapeId="0" xr:uid="{9E2CF14F-5B24-4463-BD08-033AA231C235}">
      <text>
        <r>
          <rPr>
            <b/>
            <sz val="9"/>
            <color indexed="81"/>
            <rFont val="Segoe UI"/>
            <charset val="1"/>
          </rPr>
          <t>All Reviews:_x000D_
6542335:1.14_x000D_
6517107:1.14_x000D_
6446296:1.13_x000D_
6419371:1.12_x000D_
6386350:1.9_x000D_
6285420:1.8_x000D_
6100054:1.6_x000D_
6100054:1.7_x000D_
6013186:1.5_x000D_
6013186:1.6_x000D_
5960698:1.5_x000D_
5750764:1.2</t>
        </r>
      </text>
    </comment>
    <comment ref="L32" authorId="4" shapeId="0" xr:uid="{EAED3274-E2C7-46D5-A1D6-93128D7BD085}">
      <text>
        <r>
          <rPr>
            <b/>
            <sz val="9"/>
            <color indexed="81"/>
            <rFont val="Segoe UI"/>
            <charset val="1"/>
          </rPr>
          <t>All Reviews:_x000D_
6542413:1.14_x000D_
6517163:1.14_x000D_
6419433:1.12_x000D_
6386460:1.9_x000D_
6285497:1.8_x000D_
6100112:1.6_x000D_
6100112:1.7_x000D_
6013226:1.5_x000D_
6013226:1.6_x000D_
5960900:1.5</t>
        </r>
      </text>
    </comment>
    <comment ref="E33" authorId="4" shapeId="0" xr:uid="{1007CE2B-B836-4D3F-817A-9961D285A562}">
      <text>
        <r>
          <rPr>
            <b/>
            <sz val="9"/>
            <color indexed="81"/>
            <rFont val="Segoe UI"/>
            <charset val="1"/>
          </rPr>
          <t>All Reviews:_x000D_
6542376:1.10.1.1_x000D_
6517139:1.10.1.1_x000D_
6349402:1.8.2.2_x000D_
6256147:1.8.2.1_x000D_
6252261:1.8.2.1_x000D_
6041848:1.7.2.1_x000D_
6041848:1.4.2.2_x000D_
6013212:1.4.2.1_x000D_
6013212:1.4.2.2_x000D_
5782684:1.4.2.1_x000D_
5750786:1.4</t>
        </r>
      </text>
    </comment>
    <comment ref="H33" authorId="4" shapeId="0" xr:uid="{0E4FAD6D-45AF-4D2C-9EAD-BC5BA89A396C}">
      <text>
        <r>
          <rPr>
            <b/>
            <sz val="9"/>
            <color indexed="81"/>
            <rFont val="Segoe UI"/>
            <charset val="1"/>
          </rPr>
          <t>All Reviews:_x000D_
6542335:1.10.1.1_x000D_
6517107:1.10.1.1_x000D_
6349391:1.8.2.2_x000D_
6256106:1.8.2.1_x000D_
6252219:1.8.2.1_x000D_
6041805:1.4.2.2_x000D_
6041805:1.7.2.1_x000D_
6013186:1.4.2.1_x000D_
6013186:1.4.2.2_x000D_
5782710:1.4.2.1_x000D_
5750764:1.4</t>
        </r>
      </text>
    </comment>
    <comment ref="L33" authorId="4" shapeId="0" xr:uid="{01D4F008-9176-4D40-89E9-D8F7F699E8F7}">
      <text>
        <r>
          <rPr>
            <b/>
            <sz val="9"/>
            <color indexed="81"/>
            <rFont val="Segoe UI"/>
            <charset val="1"/>
          </rPr>
          <t>All Reviews:_x000D_
6542413:1.10.1.1_x000D_
6517163:1.10.1.1_x000D_
6349413:1.8.2.2_x000D_
6252299:1.8.2.1_x000D_
6256213:1.8.2.1_x000D_
6041859:1.4.2.2_x000D_
6041859:1.7.2.1_x000D_
6013226:1.4.2.1_x000D_
6013226:1.4.2.2_x000D_
5782725:1.4.2.1</t>
        </r>
      </text>
    </comment>
    <comment ref="E34" authorId="4" shapeId="0" xr:uid="{46FAE0D6-E4C6-45EE-9D79-900E0C34B1BA}">
      <text>
        <r>
          <rPr>
            <b/>
            <sz val="9"/>
            <color indexed="81"/>
            <rFont val="Segoe UI"/>
            <charset val="1"/>
          </rPr>
          <t>All Reviews:_x000D_
6542376:1.6_x000D_
6517139:1.6_x000D_
6013212:1.4_x000D_
6013212:1.5_x000D_
5750786:1.3</t>
        </r>
      </text>
    </comment>
    <comment ref="H34" authorId="4" shapeId="0" xr:uid="{F03A7A90-98B2-4B77-80A9-DA3AE20796A4}">
      <text>
        <r>
          <rPr>
            <b/>
            <sz val="9"/>
            <color indexed="81"/>
            <rFont val="Segoe UI"/>
            <charset val="1"/>
          </rPr>
          <t>All Reviews:_x000D_
6542335:1.6_x000D_
6517107:1.6_x000D_
6013186:1.4_x000D_
6013186:1.5_x000D_
5750764:1.3</t>
        </r>
      </text>
    </comment>
    <comment ref="L34" authorId="4" shapeId="0" xr:uid="{803928D8-147D-406C-884E-E4E3F58A9330}">
      <text>
        <r>
          <rPr>
            <b/>
            <sz val="9"/>
            <color indexed="81"/>
            <rFont val="Segoe UI"/>
            <charset val="1"/>
          </rPr>
          <t>All Reviews:_x000D_
6542413:1.6_x000D_
6517163:1.6_x000D_
6013226:1.4_x000D_
6013226:1.5</t>
        </r>
      </text>
    </comment>
    <comment ref="E35" authorId="4" shapeId="0" xr:uid="{EE393F87-6DE1-4331-98BA-6D9C25D1A3BA}">
      <text>
        <r>
          <rPr>
            <b/>
            <sz val="9"/>
            <color indexed="81"/>
            <rFont val="Segoe UI"/>
            <charset val="1"/>
          </rPr>
          <t>All Reviews:_x000D_
6542376:1.8.1.1_x000D_
6517139:1.8.1.1_x000D_
6419402:1.6.1.1_x000D_
6100086:1.4.1.1_x000D_
6100086:1.5.1.1_x000D_
5782684:1.4.1.1_x000D_
5750786:1.3</t>
        </r>
      </text>
    </comment>
    <comment ref="H35" authorId="4" shapeId="0" xr:uid="{F668E1F3-29A7-4A63-B052-31AD40DA8592}">
      <text>
        <r>
          <rPr>
            <b/>
            <sz val="9"/>
            <color indexed="81"/>
            <rFont val="Segoe UI"/>
            <charset val="1"/>
          </rPr>
          <t>All Reviews:_x000D_
6542335:1.8.1.1_x000D_
6517107:1.8.1.1_x000D_
6419371:1.6.1.1_x000D_
6100054:1.4.1.1_x000D_
6100054:1.5.1.1_x000D_
5782710:1.4.1.1_x000D_
5750764:1.3</t>
        </r>
      </text>
    </comment>
    <comment ref="L35" authorId="4" shapeId="0" xr:uid="{B9315827-781B-49A7-BF7F-74EA9ED5F08A}">
      <text>
        <r>
          <rPr>
            <b/>
            <sz val="9"/>
            <color indexed="81"/>
            <rFont val="Segoe UI"/>
            <charset val="1"/>
          </rPr>
          <t>All Reviews:_x000D_
6542413:1.8.1.1_x000D_
6517163:1.8.1.1_x000D_
6419433:1.6.1.1_x000D_
6100112:1.4.1.1_x000D_
6100112:1.5.1.1</t>
        </r>
      </text>
    </comment>
    <comment ref="E36" authorId="4" shapeId="0" xr:uid="{662649C5-5CCE-43C1-8C61-914F187FB959}">
      <text>
        <r>
          <rPr>
            <b/>
            <sz val="9"/>
            <color indexed="81"/>
            <rFont val="Segoe UI"/>
            <charset val="1"/>
          </rPr>
          <t>All Reviews:_x000D_
7096947:1.11.1.1</t>
        </r>
      </text>
    </comment>
    <comment ref="H36" authorId="4" shapeId="0" xr:uid="{75E81447-92AE-4AAE-999E-8B6CBF669AFF}">
      <text>
        <r>
          <rPr>
            <b/>
            <sz val="9"/>
            <color indexed="81"/>
            <rFont val="Segoe UI"/>
            <charset val="1"/>
          </rPr>
          <t>All Reviews:_x000D_
7096914:1.11.1.1</t>
        </r>
      </text>
    </comment>
    <comment ref="E37" authorId="4" shapeId="0" xr:uid="{724113AB-ED12-416C-B70E-FC67B348F70A}">
      <text>
        <r>
          <rPr>
            <b/>
            <sz val="9"/>
            <color indexed="81"/>
            <rFont val="Segoe UI"/>
            <charset val="1"/>
          </rPr>
          <t>All Reviews:_x000D_
7096947:1.9</t>
        </r>
      </text>
    </comment>
    <comment ref="H37" authorId="4" shapeId="0" xr:uid="{FEE89632-CF05-4C44-833F-F6B707B04CBA}">
      <text>
        <r>
          <rPr>
            <b/>
            <sz val="9"/>
            <color indexed="81"/>
            <rFont val="Segoe UI"/>
            <charset val="1"/>
          </rPr>
          <t>All Reviews:_x000D_
7096914:1.9</t>
        </r>
      </text>
    </comment>
    <comment ref="E38" authorId="4" shapeId="0" xr:uid="{336B5C38-90A4-4E47-B0CD-AAEF7491E6D3}">
      <text>
        <r>
          <rPr>
            <b/>
            <sz val="9"/>
            <color indexed="81"/>
            <rFont val="Segoe UI"/>
            <charset val="1"/>
          </rPr>
          <t>All Reviews:_x000D_
7096947:1.15</t>
        </r>
      </text>
    </comment>
    <comment ref="H38" authorId="4" shapeId="0" xr:uid="{7F356E51-52C0-493C-AFDD-C9ED0F90225E}">
      <text>
        <r>
          <rPr>
            <b/>
            <sz val="9"/>
            <color indexed="81"/>
            <rFont val="Segoe UI"/>
            <charset val="1"/>
          </rPr>
          <t>All Reviews:_x000D_
7096914:1.15</t>
        </r>
      </text>
    </comment>
    <comment ref="E39" authorId="4" shapeId="0" xr:uid="{BCE6B39F-80EE-4C35-A917-FF090843DF26}">
      <text>
        <r>
          <rPr>
            <b/>
            <sz val="9"/>
            <color indexed="81"/>
            <rFont val="Segoe UI"/>
            <charset val="1"/>
          </rPr>
          <t>All Reviews:_x000D_
7096947:1.14</t>
        </r>
      </text>
    </comment>
    <comment ref="H39" authorId="4" shapeId="0" xr:uid="{CB9CACB3-0021-4C66-95F1-3BACB969F0D9}">
      <text>
        <r>
          <rPr>
            <b/>
            <sz val="9"/>
            <color indexed="81"/>
            <rFont val="Segoe UI"/>
            <charset val="1"/>
          </rPr>
          <t>All Reviews:_x000D_
7096914:1.14</t>
        </r>
      </text>
    </comment>
    <comment ref="E40" authorId="4" shapeId="0" xr:uid="{100A8618-B98A-477C-B04E-4DF25853A848}">
      <text>
        <r>
          <rPr>
            <b/>
            <sz val="9"/>
            <color indexed="81"/>
            <rFont val="Segoe UI"/>
            <charset val="1"/>
          </rPr>
          <t>All Reviews:_x000D_
7167463:1.10.1.2_x000D_
7096947:1.10.1.1</t>
        </r>
      </text>
    </comment>
    <comment ref="H40" authorId="4" shapeId="0" xr:uid="{64635E17-1B44-4FCF-952E-D0C9D250A09C}">
      <text>
        <r>
          <rPr>
            <b/>
            <sz val="9"/>
            <color indexed="81"/>
            <rFont val="Segoe UI"/>
            <charset val="1"/>
          </rPr>
          <t>All Reviews:_x000D_
7167526:1.10.1.2_x000D_
7096914:1.10.1.1</t>
        </r>
      </text>
    </comment>
    <comment ref="E41" authorId="4" shapeId="0" xr:uid="{06662F78-7477-4259-98B0-FDF4A1429B46}">
      <text>
        <r>
          <rPr>
            <b/>
            <sz val="9"/>
            <color indexed="81"/>
            <rFont val="Segoe UI"/>
            <charset val="1"/>
          </rPr>
          <t>All Reviews:_x000D_
7096947:1.6</t>
        </r>
      </text>
    </comment>
    <comment ref="H41" authorId="4" shapeId="0" xr:uid="{BC0A6595-3FF1-4691-A49C-8B0585FC23B9}">
      <text>
        <r>
          <rPr>
            <b/>
            <sz val="9"/>
            <color indexed="81"/>
            <rFont val="Segoe UI"/>
            <charset val="1"/>
          </rPr>
          <t>All Reviews:_x000D_
7096914:1.6</t>
        </r>
      </text>
    </comment>
    <comment ref="E42" authorId="4" shapeId="0" xr:uid="{A406F564-7883-49E3-8219-4760CC6B0E40}">
      <text>
        <r>
          <rPr>
            <b/>
            <sz val="9"/>
            <color indexed="81"/>
            <rFont val="Segoe UI"/>
            <charset val="1"/>
          </rPr>
          <t>All Reviews:_x000D_
7110593:1.8.9.1</t>
        </r>
      </text>
    </comment>
    <comment ref="H42" authorId="4" shapeId="0" xr:uid="{A84B9704-19B1-4887-BB81-94E1538EF7F9}">
      <text>
        <r>
          <rPr>
            <b/>
            <sz val="9"/>
            <color indexed="81"/>
            <rFont val="Segoe UI"/>
            <charset val="1"/>
          </rPr>
          <t>All Reviews:_x000D_
7110584:1.8.9.1</t>
        </r>
      </text>
    </comment>
    <comment ref="E50" authorId="4" shapeId="0" xr:uid="{033B5D7F-5996-4A40-805B-F746488773DB}">
      <text>
        <r>
          <rPr>
            <b/>
            <sz val="9"/>
            <color indexed="81"/>
            <rFont val="Segoe UI"/>
            <charset val="1"/>
          </rPr>
          <t>All Reviews:_x000D_
6669828:1.12_x000D_
6542376:1.11_x000D_
6517139:1.11_x000D_
6349402:1.10_x000D_
6220529:1.9_x000D_
6154983:1.7_x000D_
6133076:1.7_x000D_
6133076:1.8_x000D_
6068744:1.7_x000D_
5985824:1.6</t>
        </r>
      </text>
    </comment>
    <comment ref="H50" authorId="4" shapeId="0" xr:uid="{F3E5377B-E286-4612-BE05-38C29D031F4A}">
      <text>
        <r>
          <rPr>
            <b/>
            <sz val="9"/>
            <color indexed="81"/>
            <rFont val="Segoe UI"/>
            <charset val="1"/>
          </rPr>
          <t>All Reviews:_x000D_
6669809:1.12_x000D_
6542335:1.11_x000D_
6517107:1.11_x000D_
6349391:1.10_x000D_
6220510:1.9_x000D_
6154950:1.7_x000D_
6133042:1.7_x000D_
6133042:1.8_x000D_
6068862:1.7_x000D_
5985814:1.6</t>
        </r>
      </text>
    </comment>
    <comment ref="L50" authorId="4" shapeId="0" xr:uid="{33F78A04-C02E-48ED-AC98-8DE1472D94F0}">
      <text>
        <r>
          <rPr>
            <b/>
            <sz val="9"/>
            <color indexed="81"/>
            <rFont val="Segoe UI"/>
            <charset val="1"/>
          </rPr>
          <t>All Reviews:_x000D_
6669839:1.12_x000D_
6542413:1.11_x000D_
6517163:1.11_x000D_
6349413:1.10_x000D_
6220552:1.9_x000D_
6133092:1.7_x000D_
6133092:1.8</t>
        </r>
      </text>
    </comment>
    <comment ref="E51" authorId="4" shapeId="0" xr:uid="{21D0C475-0101-46C8-9141-4BBF2041A5A4}">
      <text>
        <r>
          <rPr>
            <b/>
            <sz val="9"/>
            <color indexed="81"/>
            <rFont val="Segoe UI"/>
            <charset val="1"/>
          </rPr>
          <t>All Reviews:_x000D_
6669828:1.10_x000D_
6542376:1.9_x000D_
6517139:1.9_x000D_
6349402:1.8_x000D_
6220529:1.7_x000D_
6068744:1.6_x000D_
5985824:1.5</t>
        </r>
      </text>
    </comment>
    <comment ref="H51" authorId="4" shapeId="0" xr:uid="{0FAC376E-5B98-4D5D-8B91-3A5242E089B6}">
      <text>
        <r>
          <rPr>
            <b/>
            <sz val="9"/>
            <color indexed="81"/>
            <rFont val="Segoe UI"/>
            <charset val="1"/>
          </rPr>
          <t>All Reviews:_x000D_
6669809:1.10_x000D_
6542335:1.9_x000D_
6517107:1.9_x000D_
6349391:1.8_x000D_
6220510:1.7_x000D_
6068862:1.6_x000D_
5985814:1.5</t>
        </r>
      </text>
    </comment>
    <comment ref="L51" authorId="4" shapeId="0" xr:uid="{B30E48FB-C6F9-4E94-8740-9DABD8D74D56}">
      <text>
        <r>
          <rPr>
            <b/>
            <sz val="9"/>
            <color indexed="81"/>
            <rFont val="Segoe UI"/>
            <charset val="1"/>
          </rPr>
          <t>All Reviews:_x000D_
6669839:1.10_x000D_
6542413:1.9_x000D_
6517163:1.9_x000D_
6349413:1.8_x000D_
6220552:1.7</t>
        </r>
      </text>
    </comment>
    <comment ref="E52" authorId="4" shapeId="0" xr:uid="{B8770D7F-E884-4837-B68F-A3C2488C05C6}">
      <text>
        <r>
          <rPr>
            <b/>
            <sz val="9"/>
            <color indexed="81"/>
            <rFont val="Segoe UI"/>
            <charset val="1"/>
          </rPr>
          <t>All Reviews:_x000D_
6542376:1.15_x000D_
6517139:1.15_x000D_
6446255:1.13_x000D_
6419402:1.12_x000D_
6386427:1.11_x000D_
6285442:1.9_x000D_
6100086:1.7_x000D_
6100086:1.8_x000D_
6068744:1.7_x000D_
5985824:1.6</t>
        </r>
      </text>
    </comment>
    <comment ref="H52" authorId="4" shapeId="0" xr:uid="{72BE467E-9EEE-4269-96C5-83A67346E358}">
      <text>
        <r>
          <rPr>
            <b/>
            <sz val="9"/>
            <color indexed="81"/>
            <rFont val="Segoe UI"/>
            <charset val="1"/>
          </rPr>
          <t>All Reviews:_x000D_
6542335:1.15_x000D_
6517107:1.15_x000D_
6446296:1.13_x000D_
6419371:1.12_x000D_
6386350:1.11_x000D_
6285420:1.9_x000D_
6100054:1.7_x000D_
6100054:1.8_x000D_
6068862:1.7_x000D_
5985814:1.6</t>
        </r>
      </text>
    </comment>
    <comment ref="L52" authorId="4" shapeId="0" xr:uid="{6C1E9067-30BE-4692-AD01-990EE1B0797C}">
      <text>
        <r>
          <rPr>
            <b/>
            <sz val="9"/>
            <color indexed="81"/>
            <rFont val="Segoe UI"/>
            <charset val="1"/>
          </rPr>
          <t>All Reviews:_x000D_
6542413:1.15_x000D_
6517163:1.15_x000D_
6419433:1.12_x000D_
6386460:1.11_x000D_
6285497:1.9_x000D_
6100112:1.7_x000D_
6100112:1.8</t>
        </r>
      </text>
    </comment>
    <comment ref="E53" authorId="4" shapeId="0" xr:uid="{B364449A-6C64-4A05-99ED-9775AAF82AA1}">
      <text>
        <r>
          <rPr>
            <b/>
            <sz val="9"/>
            <color indexed="81"/>
            <rFont val="Segoe UI"/>
            <charset val="1"/>
          </rPr>
          <t>All Reviews:_x000D_
6542376:1.14_x000D_
6517139:1.14_x000D_
6446255:1.13_x000D_
6419402:1.12_x000D_
6386427:1.9_x000D_
6285442:1.8_x000D_
6100086:1.6_x000D_
6100086:1.7_x000D_
6068744:1.6_x000D_
5985824:1.5</t>
        </r>
      </text>
    </comment>
    <comment ref="H53" authorId="4" shapeId="0" xr:uid="{CA0FCC81-819F-4631-A466-F2CD0988AA69}">
      <text>
        <r>
          <rPr>
            <b/>
            <sz val="9"/>
            <color indexed="81"/>
            <rFont val="Segoe UI"/>
            <charset val="1"/>
          </rPr>
          <t>All Reviews:_x000D_
6542335:1.14_x000D_
6517107:1.14_x000D_
6446296:1.13_x000D_
6419371:1.12_x000D_
6386350:1.9_x000D_
6285420:1.8_x000D_
6100054:1.6_x000D_
6100054:1.7_x000D_
6068862:1.6_x000D_
5985814:1.5</t>
        </r>
      </text>
    </comment>
    <comment ref="L53" authorId="4" shapeId="0" xr:uid="{08B8BB6E-6721-4277-A232-D63517E8BE83}">
      <text>
        <r>
          <rPr>
            <b/>
            <sz val="9"/>
            <color indexed="81"/>
            <rFont val="Segoe UI"/>
            <charset val="1"/>
          </rPr>
          <t>All Reviews:_x000D_
6542413:1.14_x000D_
6517163:1.14_x000D_
6419433:1.12_x000D_
6386460:1.9_x000D_
6285497:1.8_x000D_
6100112:1.6_x000D_
6100112:1.7</t>
        </r>
      </text>
    </comment>
    <comment ref="E54" authorId="4" shapeId="0" xr:uid="{83B722F1-7BCD-4B60-AC00-A33E68275AFE}">
      <text>
        <r>
          <rPr>
            <b/>
            <sz val="9"/>
            <color indexed="81"/>
            <rFont val="Segoe UI"/>
            <charset val="1"/>
          </rPr>
          <t>All Reviews:_x000D_
7167463:1.10.2.2_x000D_
6542376:1.10.2.1_x000D_
6517139:1.10.2.1_x000D_
6349402:1.8.3.2_x000D_
6256147:1.8.3.1_x000D_
6252261:1.8.3.1_x000D_
6220529:1.7.3.2_x000D_
6199248:1.7.3.1_x000D_
6068744:1.7_x000D_
5985824:1.4</t>
        </r>
      </text>
    </comment>
    <comment ref="H54" authorId="4" shapeId="0" xr:uid="{149E6DEA-4857-4653-AD4E-2BD1995AD5E5}">
      <text>
        <r>
          <rPr>
            <b/>
            <sz val="9"/>
            <color indexed="81"/>
            <rFont val="Segoe UI"/>
            <charset val="1"/>
          </rPr>
          <t>All Reviews:_x000D_
7167526:1.10.2.2_x000D_
6542335:1.10.2.1_x000D_
6517107:1.10.2.1_x000D_
6349391:1.8.3.2_x000D_
6256106:1.8.3.1_x000D_
6252219:1.8.3.1_x000D_
6220510:1.7.3.2_x000D_
6199298:1.7.3.1_x000D_
6068862:1.7_x000D_
5985814:1.4</t>
        </r>
      </text>
    </comment>
    <comment ref="L54" authorId="4" shapeId="0" xr:uid="{83D5ECA3-753B-4C8E-A26B-76DCD4920C6D}">
      <text>
        <r>
          <rPr>
            <b/>
            <sz val="9"/>
            <color indexed="81"/>
            <rFont val="Segoe UI"/>
            <charset val="1"/>
          </rPr>
          <t>All Reviews:_x000D_
6542413:1.10.2.1_x000D_
6517163:1.10.2.1_x000D_
6349413:1.8.3.2_x000D_
6252299:1.8.3.1_x000D_
6256213:1.8.3.1_x000D_
6220552:1.7.3.2</t>
        </r>
      </text>
    </comment>
    <comment ref="E55" authorId="4" shapeId="0" xr:uid="{9EE81A14-DA02-4BC4-93D5-452CC894B35C}">
      <text>
        <r>
          <rPr>
            <b/>
            <sz val="9"/>
            <color indexed="81"/>
            <rFont val="Segoe UI"/>
            <charset val="1"/>
          </rPr>
          <t>All Reviews:_x000D_
6542376:1.6_x000D_
6517139:1.6_x000D_
6068744:1.5_x000D_
5985824:1.4</t>
        </r>
      </text>
    </comment>
    <comment ref="H55" authorId="4" shapeId="0" xr:uid="{4BFF4899-DF19-4646-8D69-ECA64B93106D}">
      <text>
        <r>
          <rPr>
            <b/>
            <sz val="9"/>
            <color indexed="81"/>
            <rFont val="Segoe UI"/>
            <charset val="1"/>
          </rPr>
          <t>All Reviews:_x000D_
6542335:1.6_x000D_
6517107:1.6_x000D_
6068862:1.5_x000D_
5985814:1.4</t>
        </r>
      </text>
    </comment>
    <comment ref="L55" authorId="4" shapeId="0" xr:uid="{9B0685C6-49ED-439C-94B6-BF89BFCB8473}">
      <text>
        <r>
          <rPr>
            <b/>
            <sz val="9"/>
            <color indexed="81"/>
            <rFont val="Segoe UI"/>
            <charset val="1"/>
          </rPr>
          <t>All Reviews:_x000D_
6542413:1.6_x000D_
6517163:1.6</t>
        </r>
      </text>
    </comment>
    <comment ref="E56" authorId="4" shapeId="0" xr:uid="{8B8BF735-3100-4794-951D-883AC625E912}">
      <text>
        <r>
          <rPr>
            <b/>
            <sz val="9"/>
            <color indexed="81"/>
            <rFont val="Segoe UI"/>
            <charset val="1"/>
          </rPr>
          <t>All Reviews:_x000D_
6542376:1.8.2.1_x000D_
6517139:1.8.2.1_x000D_
6419402:1.6.2.1_x000D_
6100086:1.4_x000D_
6100086:1.5_x000D_
5985824:1.4</t>
        </r>
      </text>
    </comment>
    <comment ref="H56" authorId="4" shapeId="0" xr:uid="{CBAD3515-578F-43B0-8C13-FB838BAB2D1B}">
      <text>
        <r>
          <rPr>
            <b/>
            <sz val="9"/>
            <color indexed="81"/>
            <rFont val="Segoe UI"/>
            <charset val="1"/>
          </rPr>
          <t>All Reviews:_x000D_
6542335:1.8.2.1_x000D_
6517107:1.8.2.1_x000D_
6419371:1.6.2.1_x000D_
6100054:1.4_x000D_
6100054:1.5_x000D_
5985814:1.4</t>
        </r>
      </text>
    </comment>
    <comment ref="L56" authorId="4" shapeId="0" xr:uid="{CB1C675C-E190-4959-83F8-ADE49096F8BA}">
      <text>
        <r>
          <rPr>
            <b/>
            <sz val="9"/>
            <color indexed="81"/>
            <rFont val="Segoe UI"/>
            <charset val="1"/>
          </rPr>
          <t>All Reviews:_x000D_
6542413:1.8.2.1_x000D_
6517163:1.8.2.1_x000D_
6419433:1.6.2.1_x000D_
6100112:1.4_x000D_
6100112:1.5</t>
        </r>
      </text>
    </comment>
    <comment ref="E57" authorId="4" shapeId="0" xr:uid="{B867960A-855E-4E6B-9551-4CDB5CFD75DA}">
      <text>
        <r>
          <rPr>
            <b/>
            <sz val="9"/>
            <color indexed="81"/>
            <rFont val="Segoe UI"/>
            <charset val="1"/>
          </rPr>
          <t>All Reviews:_x000D_
6669828:1.12_x000D_
6542376:1.11.2.1_x000D_
6517139:1.11.2.1_x000D_
6349402:1.9.2.2_x000D_
6220529:1.9.2.1_x000D_
6199248:1.8</t>
        </r>
      </text>
    </comment>
    <comment ref="H57" authorId="4" shapeId="0" xr:uid="{E7B0716F-CDA3-456B-A58B-386DBA530E10}">
      <text>
        <r>
          <rPr>
            <b/>
            <sz val="9"/>
            <color indexed="81"/>
            <rFont val="Segoe UI"/>
            <charset val="1"/>
          </rPr>
          <t>All Reviews:_x000D_
6669809:1.12_x000D_
6542335:1.11.2.1_x000D_
6517107:1.11.2.1_x000D_
6349391:1.9.2.2_x000D_
6220510:1.9.2.1_x000D_
6199298:1.8</t>
        </r>
      </text>
    </comment>
    <comment ref="L57" authorId="4" shapeId="0" xr:uid="{21CB57D8-0655-49DD-9B0E-D1559FB13E81}">
      <text>
        <r>
          <rPr>
            <b/>
            <sz val="9"/>
            <color indexed="81"/>
            <rFont val="Segoe UI"/>
            <charset val="1"/>
          </rPr>
          <t>All Reviews:_x000D_
6669839:1.12_x000D_
6542413:1.11.2.1_x000D_
6517163:1.11.2.1_x000D_
6349413:1.9.2.2_x000D_
6220552:1.9.2.1_x000D_
6199310:1.8</t>
        </r>
      </text>
    </comment>
    <comment ref="E58" authorId="4" shapeId="0" xr:uid="{5480F35B-28B2-47BA-BF17-4DC089624E1D}">
      <text>
        <r>
          <rPr>
            <b/>
            <sz val="9"/>
            <color indexed="81"/>
            <rFont val="Segoe UI"/>
            <charset val="1"/>
          </rPr>
          <t>All Reviews:_x000D_
6669828:1.10_x000D_
6542376:1.9_x000D_
6517139:1.9_x000D_
6349402:1.8_x000D_
6252261:1.7_x000D_
6199248:1.6</t>
        </r>
      </text>
    </comment>
    <comment ref="H58" authorId="4" shapeId="0" xr:uid="{0A4E4B29-ED29-466F-BED2-D56265964E12}">
      <text>
        <r>
          <rPr>
            <b/>
            <sz val="9"/>
            <color indexed="81"/>
            <rFont val="Segoe UI"/>
            <charset val="1"/>
          </rPr>
          <t>All Reviews:_x000D_
6669809:1.10_x000D_
6542335:1.9_x000D_
6517107:1.9_x000D_
6349391:1.8_x000D_
6252219:1.7_x000D_
6199298:1.6</t>
        </r>
      </text>
    </comment>
    <comment ref="L58" authorId="4" shapeId="0" xr:uid="{5BEC9B16-E16D-415E-8AB0-6B767E6F1A63}">
      <text>
        <r>
          <rPr>
            <b/>
            <sz val="9"/>
            <color indexed="81"/>
            <rFont val="Segoe UI"/>
            <charset val="1"/>
          </rPr>
          <t>All Reviews:_x000D_
6669839:1.10_x000D_
6542413:1.9_x000D_
6517163:1.9_x000D_
6349413:1.8_x000D_
6252299:1.7</t>
        </r>
      </text>
    </comment>
    <comment ref="E59" authorId="4" shapeId="0" xr:uid="{234DEEE2-A970-4AB9-8D72-A28FF430DBA7}">
      <text>
        <r>
          <rPr>
            <b/>
            <sz val="9"/>
            <color indexed="81"/>
            <rFont val="Segoe UI"/>
            <charset val="1"/>
          </rPr>
          <t>All Reviews:_x000D_
6542376:1.15_x000D_
6517139:1.15_x000D_
6446255:1.13_x000D_
6419402:1.12_x000D_
6386427:1.11_x000D_
6199248:1.8</t>
        </r>
      </text>
    </comment>
    <comment ref="H59" authorId="4" shapeId="0" xr:uid="{4E371754-7E88-4CEF-9D03-11C209BF9B2B}">
      <text>
        <r>
          <rPr>
            <b/>
            <sz val="9"/>
            <color indexed="81"/>
            <rFont val="Segoe UI"/>
            <charset val="1"/>
          </rPr>
          <t>All Reviews:_x000D_
6542335:1.15_x000D_
6517107:1.15_x000D_
6446296:1.13_x000D_
6419371:1.12_x000D_
6386350:1.11_x000D_
6199298:1.8</t>
        </r>
      </text>
    </comment>
    <comment ref="L59" authorId="4" shapeId="0" xr:uid="{70D97E04-3F7B-4130-975F-7A3705E90551}">
      <text>
        <r>
          <rPr>
            <b/>
            <sz val="9"/>
            <color indexed="81"/>
            <rFont val="Segoe UI"/>
            <charset val="1"/>
          </rPr>
          <t>All Reviews:_x000D_
6542413:1.15_x000D_
6517163:1.15_x000D_
6419433:1.12_x000D_
6386460:1.11_x000D_
6199310:1.8</t>
        </r>
      </text>
    </comment>
    <comment ref="E60" authorId="4" shapeId="0" xr:uid="{D2AC362C-CB1D-4E4A-93F8-79495065336F}">
      <text>
        <r>
          <rPr>
            <b/>
            <sz val="9"/>
            <color indexed="81"/>
            <rFont val="Segoe UI"/>
            <charset val="1"/>
          </rPr>
          <t>All Reviews:_x000D_
6542376:1.14_x000D_
6517139:1.14_x000D_
6446255:1.13_x000D_
6419402:1.12_x000D_
6386427:1.9_x000D_
6199248:1.7</t>
        </r>
      </text>
    </comment>
    <comment ref="H60" authorId="4" shapeId="0" xr:uid="{A7101FA8-9CA7-4285-88E1-8F6093168EBB}">
      <text>
        <r>
          <rPr>
            <b/>
            <sz val="9"/>
            <color indexed="81"/>
            <rFont val="Segoe UI"/>
            <charset val="1"/>
          </rPr>
          <t>All Reviews:_x000D_
6542335:1.14_x000D_
6517107:1.14_x000D_
6446296:1.13_x000D_
6419371:1.12_x000D_
6386350:1.9_x000D_
6199298:1.7</t>
        </r>
      </text>
    </comment>
    <comment ref="L60" authorId="4" shapeId="0" xr:uid="{8142A3E6-0B98-4106-B9B8-ABF18D1DE701}">
      <text>
        <r>
          <rPr>
            <b/>
            <sz val="9"/>
            <color indexed="81"/>
            <rFont val="Segoe UI"/>
            <charset val="1"/>
          </rPr>
          <t>All Reviews:_x000D_
6542413:1.14_x000D_
6517163:1.14_x000D_
6419433:1.12_x000D_
6386460:1.9</t>
        </r>
      </text>
    </comment>
    <comment ref="E61" authorId="4" shapeId="0" xr:uid="{52AD3AA5-78F5-4E0B-A640-4DF43135B1B5}">
      <text>
        <r>
          <rPr>
            <b/>
            <sz val="9"/>
            <color indexed="81"/>
            <rFont val="Segoe UI"/>
            <charset val="1"/>
          </rPr>
          <t>All Reviews:_x000D_
7167463:1.10.2.2_x000D_
6542376:1.10.2.1_x000D_
6517139:1.10.2.1_x000D_
6349402:1.8.3.2_x000D_
6252261:1.8.3.1_x000D_
6220529:1.7.4.1_x000D_
6199248:1.7</t>
        </r>
      </text>
    </comment>
    <comment ref="H61" authorId="4" shapeId="0" xr:uid="{BA5207C0-F481-4A4D-AC0A-1D6264F7E5CE}">
      <text>
        <r>
          <rPr>
            <b/>
            <sz val="9"/>
            <color indexed="81"/>
            <rFont val="Segoe UI"/>
            <charset val="1"/>
          </rPr>
          <t>All Reviews:_x000D_
7167526:1.10.2.2_x000D_
6542335:1.10.2.1_x000D_
6517107:1.10.2.1_x000D_
6349391:1.8.3.2_x000D_
6252219:1.8.3.1_x000D_
6220510:1.7.4.1_x000D_
6199298:1.7</t>
        </r>
      </text>
    </comment>
    <comment ref="L61" authorId="4" shapeId="0" xr:uid="{BB3D9E18-2C9F-49E9-A5EF-3BAC29B3805C}">
      <text>
        <r>
          <rPr>
            <b/>
            <sz val="9"/>
            <color indexed="81"/>
            <rFont val="Segoe UI"/>
            <charset val="1"/>
          </rPr>
          <t>All Reviews:_x000D_
6542413:1.10.2.1_x000D_
6517163:1.10.2.1_x000D_
6349413:1.8.3.2_x000D_
6252299:1.8.3.1_x000D_
6220552:1.7.4.1_x000D_
6199310:1.7</t>
        </r>
      </text>
    </comment>
    <comment ref="E62" authorId="4" shapeId="0" xr:uid="{A026877E-8BD1-44D6-B072-0B72E14C01CC}">
      <text>
        <r>
          <rPr>
            <b/>
            <sz val="9"/>
            <color indexed="81"/>
            <rFont val="Segoe UI"/>
            <charset val="1"/>
          </rPr>
          <t>All Reviews:_x000D_
6542376:1.6_x000D_
6517139:1.6_x000D_
6199248:1.5</t>
        </r>
      </text>
    </comment>
    <comment ref="H62" authorId="4" shapeId="0" xr:uid="{54BBCD3C-1B16-414C-B34F-FBF38E02B3DD}">
      <text>
        <r>
          <rPr>
            <b/>
            <sz val="9"/>
            <color indexed="81"/>
            <rFont val="Segoe UI"/>
            <charset val="1"/>
          </rPr>
          <t>All Reviews:_x000D_
6542335:1.6_x000D_
6517107:1.6_x000D_
6199298:1.5</t>
        </r>
      </text>
    </comment>
    <comment ref="L62" authorId="4" shapeId="0" xr:uid="{89CC0495-BEFF-4093-8081-9637D58E87D1}">
      <text>
        <r>
          <rPr>
            <b/>
            <sz val="9"/>
            <color indexed="81"/>
            <rFont val="Segoe UI"/>
            <charset val="1"/>
          </rPr>
          <t>All Reviews:_x000D_
6542413:1.6_x000D_
6517163:1.6</t>
        </r>
      </text>
    </comment>
    <comment ref="E63" authorId="4" shapeId="0" xr:uid="{8CB2C345-C4B8-4A38-A50E-EF83949A144C}">
      <text>
        <r>
          <rPr>
            <b/>
            <sz val="9"/>
            <color indexed="81"/>
            <rFont val="Segoe UI"/>
            <charset val="1"/>
          </rPr>
          <t>All Reviews:_x000D_
6542376:1.8.3.1_x000D_
6517139:1.8.3.1_x000D_
6419402:1.6.3.1_x000D_
6199248:1.5</t>
        </r>
      </text>
    </comment>
    <comment ref="H63" authorId="4" shapeId="0" xr:uid="{DB92E081-C577-4E88-ACE9-B55134433FBC}">
      <text>
        <r>
          <rPr>
            <b/>
            <sz val="9"/>
            <color indexed="81"/>
            <rFont val="Segoe UI"/>
            <charset val="1"/>
          </rPr>
          <t>All Reviews:_x000D_
6542335:1.8.3.1_x000D_
6517107:1.8.3.1_x000D_
6419371:1.6.3.1_x000D_
6199298:1.5</t>
        </r>
      </text>
    </comment>
    <comment ref="L63" authorId="4" shapeId="0" xr:uid="{57BE5954-DE3A-4C81-91CD-179BA638B0F1}">
      <text>
        <r>
          <rPr>
            <b/>
            <sz val="9"/>
            <color indexed="81"/>
            <rFont val="Segoe UI"/>
            <charset val="1"/>
          </rPr>
          <t>All Reviews:_x000D_
6542413:1.8.3.1_x000D_
6517163:1.8.3.1_x000D_
6419433:1.6.3.1</t>
        </r>
      </text>
    </comment>
    <comment ref="E64" authorId="4" shapeId="0" xr:uid="{CAE5B739-262B-41C9-9A98-407FC1E3371E}">
      <text>
        <r>
          <rPr>
            <b/>
            <sz val="9"/>
            <color indexed="81"/>
            <rFont val="Segoe UI"/>
            <charset val="1"/>
          </rPr>
          <t>All Reviews:_x000D_
6669828:1.12_x000D_
6542376:1.11.1.1_x000D_
6517139:1.11.1.1_x000D_
6479884:1.9.3.2</t>
        </r>
      </text>
    </comment>
    <comment ref="H64" authorId="4" shapeId="0" xr:uid="{D7196A26-578B-4C3B-A766-25B70D383B0F}">
      <text>
        <r>
          <rPr>
            <b/>
            <sz val="9"/>
            <color indexed="81"/>
            <rFont val="Segoe UI"/>
            <charset val="1"/>
          </rPr>
          <t>All Reviews:_x000D_
6669809:1.12_x000D_
6542335:1.11.1.1_x000D_
6517107:1.11.1.1_x000D_
6479805:1.9.3.2</t>
        </r>
      </text>
    </comment>
    <comment ref="L64" authorId="4" shapeId="0" xr:uid="{F798DA2A-A94A-45CE-9F29-F59827EC7B3E}">
      <text>
        <r>
          <rPr>
            <b/>
            <sz val="9"/>
            <color indexed="81"/>
            <rFont val="Segoe UI"/>
            <charset val="1"/>
          </rPr>
          <t>All Reviews:_x000D_
6669839:1.12_x000D_
6542413:1.11.1.1_x000D_
6517163:1.11.1.1_x000D_
6479937:1.9.3.2</t>
        </r>
      </text>
    </comment>
    <comment ref="E65" authorId="4" shapeId="0" xr:uid="{6C958638-F54C-4440-8BC9-D76D315FE4DD}">
      <text>
        <r>
          <rPr>
            <b/>
            <sz val="9"/>
            <color indexed="81"/>
            <rFont val="Segoe UI"/>
            <charset val="1"/>
          </rPr>
          <t>All Reviews:_x000D_
6669828:1.10_x000D_
6542376:1.9_x000D_
6517139:1.9_x000D_
6479884:1.8</t>
        </r>
      </text>
    </comment>
    <comment ref="H65" authorId="4" shapeId="0" xr:uid="{D399BFB5-6789-4801-A50D-ABF9507BCA97}">
      <text>
        <r>
          <rPr>
            <b/>
            <sz val="9"/>
            <color indexed="81"/>
            <rFont val="Segoe UI"/>
            <charset val="1"/>
          </rPr>
          <t>All Reviews:_x000D_
6669809:1.10_x000D_
6542335:1.9_x000D_
6517107:1.9_x000D_
6479805:1.8</t>
        </r>
      </text>
    </comment>
    <comment ref="L65" authorId="4" shapeId="0" xr:uid="{B23069A2-E81E-49D9-A413-2B84B7982FB3}">
      <text>
        <r>
          <rPr>
            <b/>
            <sz val="9"/>
            <color indexed="81"/>
            <rFont val="Segoe UI"/>
            <charset val="1"/>
          </rPr>
          <t>All Reviews:_x000D_
6669839:1.10_x000D_
6542413:1.9_x000D_
6517163:1.9_x000D_
6479937:1.8</t>
        </r>
      </text>
    </comment>
    <comment ref="E66" authorId="4" shapeId="0" xr:uid="{197325BC-F036-47DD-B890-BDB1EC9D0419}">
      <text>
        <r>
          <rPr>
            <b/>
            <sz val="9"/>
            <color indexed="81"/>
            <rFont val="Segoe UI"/>
            <charset val="1"/>
          </rPr>
          <t>All Reviews:_x000D_
6542376:1.15_x000D_
6517139:1.15_x000D_
6479884:1.13</t>
        </r>
      </text>
    </comment>
    <comment ref="H66" authorId="4" shapeId="0" xr:uid="{52CE4625-AAD2-4CE8-AC8F-B3B7DF257CC0}">
      <text>
        <r>
          <rPr>
            <b/>
            <sz val="9"/>
            <color indexed="81"/>
            <rFont val="Segoe UI"/>
            <charset val="1"/>
          </rPr>
          <t>All Reviews:_x000D_
6542335:1.15_x000D_
6517107:1.15_x000D_
6479805:1.13</t>
        </r>
      </text>
    </comment>
    <comment ref="L66" authorId="4" shapeId="0" xr:uid="{C61B1908-CEB8-4473-92B4-9BB8272CFA56}">
      <text>
        <r>
          <rPr>
            <b/>
            <sz val="9"/>
            <color indexed="81"/>
            <rFont val="Segoe UI"/>
            <charset val="1"/>
          </rPr>
          <t>All Reviews:_x000D_
6542413:1.15_x000D_
6517163:1.15_x000D_
6479937:1.13</t>
        </r>
      </text>
    </comment>
    <comment ref="E67" authorId="4" shapeId="0" xr:uid="{BA855CFE-206D-459C-A061-F2916126AF2B}">
      <text>
        <r>
          <rPr>
            <b/>
            <sz val="9"/>
            <color indexed="81"/>
            <rFont val="Segoe UI"/>
            <charset val="1"/>
          </rPr>
          <t>All Reviews:_x000D_
6542376:1.14_x000D_
6517139:1.14_x000D_
6479884:1.13</t>
        </r>
      </text>
    </comment>
    <comment ref="H67" authorId="4" shapeId="0" xr:uid="{206979DB-939D-41D7-910E-A2F87F291B3F}">
      <text>
        <r>
          <rPr>
            <b/>
            <sz val="9"/>
            <color indexed="81"/>
            <rFont val="Segoe UI"/>
            <charset val="1"/>
          </rPr>
          <t>All Reviews:_x000D_
6542335:1.14_x000D_
6517107:1.14_x000D_
6479805:1.13</t>
        </r>
      </text>
    </comment>
    <comment ref="L67" authorId="4" shapeId="0" xr:uid="{63533AFC-E4E6-4BB7-8CA0-A70304D97C47}">
      <text>
        <r>
          <rPr>
            <b/>
            <sz val="9"/>
            <color indexed="81"/>
            <rFont val="Segoe UI"/>
            <charset val="1"/>
          </rPr>
          <t>All Reviews:_x000D_
6542413:1.14_x000D_
6517163:1.14_x000D_
6479937:1.13</t>
        </r>
      </text>
    </comment>
    <comment ref="E68" authorId="4" shapeId="0" xr:uid="{36DB1541-1572-41E8-A81A-2CE19CAD848C}">
      <text>
        <r>
          <rPr>
            <b/>
            <sz val="9"/>
            <color indexed="81"/>
            <rFont val="Segoe UI"/>
            <charset val="1"/>
          </rPr>
          <t>All Reviews:_x000D_
6542376:1.10.1.1_x000D_
6517139:1.10.1.1_x000D_
6479884:1.8.2.2</t>
        </r>
      </text>
    </comment>
    <comment ref="H68" authorId="4" shapeId="0" xr:uid="{C30085D3-8B6B-487D-9A36-B44F97428293}">
      <text>
        <r>
          <rPr>
            <b/>
            <sz val="9"/>
            <color indexed="81"/>
            <rFont val="Segoe UI"/>
            <charset val="1"/>
          </rPr>
          <t>All Reviews:_x000D_
6542335:1.10.1.1_x000D_
6517107:1.10.1.1_x000D_
6479805:1.8.2.2</t>
        </r>
      </text>
    </comment>
    <comment ref="L68" authorId="4" shapeId="0" xr:uid="{A21D1A72-2B5C-4E70-B849-144D2107ABA9}">
      <text>
        <r>
          <rPr>
            <b/>
            <sz val="9"/>
            <color indexed="81"/>
            <rFont val="Segoe UI"/>
            <charset val="1"/>
          </rPr>
          <t>All Reviews:_x000D_
6542413:1.10.1.1_x000D_
6517163:1.10.1.1_x000D_
6479937:1.8.2.2</t>
        </r>
      </text>
    </comment>
    <comment ref="E69" authorId="4" shapeId="0" xr:uid="{3CE6A1DB-48A3-48A2-833E-418C3D12915A}">
      <text>
        <r>
          <rPr>
            <b/>
            <sz val="9"/>
            <color indexed="81"/>
            <rFont val="Segoe UI"/>
            <charset val="1"/>
          </rPr>
          <t>All Reviews:_x000D_
6542376:1.6_x000D_
6517139:1.6_x000D_
6479884:1.5</t>
        </r>
      </text>
    </comment>
    <comment ref="H69" authorId="4" shapeId="0" xr:uid="{147B47CE-34E1-4904-99FB-AFF40A7E9F21}">
      <text>
        <r>
          <rPr>
            <b/>
            <sz val="9"/>
            <color indexed="81"/>
            <rFont val="Segoe UI"/>
            <charset val="1"/>
          </rPr>
          <t>All Reviews:_x000D_
6542335:1.6_x000D_
6517107:1.6_x000D_
6479805:1.5</t>
        </r>
      </text>
    </comment>
    <comment ref="L69" authorId="4" shapeId="0" xr:uid="{6E1EE459-EEDD-4A6F-8814-77CC039B6972}">
      <text>
        <r>
          <rPr>
            <b/>
            <sz val="9"/>
            <color indexed="81"/>
            <rFont val="Segoe UI"/>
            <charset val="1"/>
          </rPr>
          <t>All Reviews:_x000D_
6542413:1.6_x000D_
6517163:1.6_x000D_
6479937:1.5</t>
        </r>
      </text>
    </comment>
    <comment ref="E70" authorId="4" shapeId="0" xr:uid="{26CBCD52-44B8-4264-91E5-12F81C7683C1}">
      <text>
        <r>
          <rPr>
            <b/>
            <sz val="9"/>
            <color indexed="81"/>
            <rFont val="Segoe UI"/>
            <charset val="1"/>
          </rPr>
          <t>All Reviews:_x000D_
6542376:1.8.4.1_x000D_
6517139:1.8.4.1_x000D_
6479884:1.7.1.1</t>
        </r>
      </text>
    </comment>
    <comment ref="H70" authorId="4" shapeId="0" xr:uid="{A3DF66A2-9BB3-4115-81FF-9D9007F2B1C8}">
      <text>
        <r>
          <rPr>
            <b/>
            <sz val="9"/>
            <color indexed="81"/>
            <rFont val="Segoe UI"/>
            <charset val="1"/>
          </rPr>
          <t>All Reviews:_x000D_
6542335:1.8.4.1_x000D_
6517107:1.8.4.1_x000D_
6479805:1.7.1.1</t>
        </r>
      </text>
    </comment>
    <comment ref="L70" authorId="4" shapeId="0" xr:uid="{DD7E4CBF-DF95-408F-9F77-675C0F05EB28}">
      <text>
        <r>
          <rPr>
            <b/>
            <sz val="9"/>
            <color indexed="81"/>
            <rFont val="Segoe UI"/>
            <charset val="1"/>
          </rPr>
          <t>All Reviews:_x000D_
6542413:1.8.4.1_x000D_
6517163:1.8.4.1_x000D_
6479937:1.7.1.1</t>
        </r>
      </text>
    </comment>
    <comment ref="E78" authorId="4" shapeId="0" xr:uid="{0C83F264-8D7F-4E7C-8BF4-FCA7B7A35671}">
      <text>
        <r>
          <rPr>
            <b/>
            <sz val="9"/>
            <color indexed="81"/>
            <rFont val="Segoe UI"/>
            <charset val="1"/>
          </rPr>
          <t>All Reviews:_x000D_
7097436:1.21_x000D_
6965455:1.20_x000D_
6864327:1.19_x000D_
6823807:1.18_x000D_
6639294:1.16_x000D_
6542376:1.15_x000D_
6512287:1.14_x000D_
6517139:1.15.1.1_x000D_
6493490:1.7.1.5_x000D_
6460426:1.7.1.4_x000D_
6349402:1.13_x000D_
6256147:1.7.1.3_x000D_
6252261:1.12_x000D_
6222608:1.7.1.2_x000D_
6220529:1.9_x000D_
6154983:1.7.1.1_x000D_
6100086:1.4_x000D_
6100086:1.7_x000D_
5985824:1.3_x000D_
5985824:1.4_x000D_
5985824:1.4_x000D_
5960572:1.3_x000D_
5901377:1.3_x000D_
5901377:1.2_x000D_
5873340:1.1</t>
        </r>
      </text>
    </comment>
    <comment ref="H78" authorId="4" shapeId="0" xr:uid="{F0DF526F-D81A-4523-B1A5-C3E137AF4200}">
      <text>
        <r>
          <rPr>
            <b/>
            <sz val="9"/>
            <color indexed="81"/>
            <rFont val="Segoe UI"/>
            <charset val="1"/>
          </rPr>
          <t>All Reviews:_x000D_
7097425:1.21_x000D_
6965444:1.20_x000D_
6864332:1.19_x000D_
6823763:1.18_x000D_
6639276:1.16_x000D_
6542335:1.15_x000D_
6517107:1.15.1.1_x000D_
6512272:1.14_x000D_
6493441:1.7.1.5_x000D_
6460372:1.7.1.4_x000D_
6349391:1.13_x000D_
6256106:1.7.1.3_x000D_
6252219:1.12_x000D_
6220510:1.9_x000D_
6222565:1.7.1.2_x000D_
6154950:1.7.1.1_x000D_
6100054:1.4_x000D_
6100054:1.7_x000D_
5985814:1.4_x000D_
5985814:1.3_x000D_
5985814:1.4_x000D_
5960698:1.3_x000D_
5901364:1.2_x000D_
5901364:1.3_x000D_
5873328:1.1</t>
        </r>
      </text>
    </comment>
    <comment ref="L78" authorId="4" shapeId="0" xr:uid="{54976CF5-06B3-46DD-A43E-C491CBAFF917}">
      <text>
        <r>
          <rPr>
            <b/>
            <sz val="9"/>
            <color indexed="81"/>
            <rFont val="Segoe UI"/>
            <charset val="1"/>
          </rPr>
          <t>All Reviews:_x000D_
6823843:1.18_x000D_
6542413:1.15_x000D_
6517163:1.15.1.1_x000D_
6512296:1.14_x000D_
6493502:1.7.1.5_x000D_
6460444:1.7.1.4_x000D_
6349413:1.13_x000D_
6252299:1.12_x000D_
6256213:1.7.1.3_x000D_
6220552:1.9_x000D_
6100112:1.4_x000D_
6100112:1.7_x000D_
5985841:1.3_x000D_
5985841:1.4_x000D_
5960900:1.3</t>
        </r>
      </text>
    </comment>
    <comment ref="E79" authorId="4" shapeId="0" xr:uid="{2C21A3B1-1B21-4339-9258-C1F633259626}">
      <text>
        <r>
          <rPr>
            <b/>
            <sz val="9"/>
            <color indexed="81"/>
            <rFont val="Segoe UI"/>
            <charset val="1"/>
          </rPr>
          <t>All Reviews:_x000D_
7097436:1.8_x000D_
6895936:1.7_x000D_
6864327:1.6_x000D_
6639294:1.5_x000D_
6542376:1.4_x000D_
6517139:1.4_x000D_
6460426:1.4_x000D_
6256147:1.3_x000D_
6252261:1.3_x000D_
5901377:1.2_x000D_
5873340:1.1</t>
        </r>
      </text>
    </comment>
    <comment ref="H79" authorId="4" shapeId="0" xr:uid="{D73EED2D-51E6-4C23-B929-3CF11D145BB5}">
      <text>
        <r>
          <rPr>
            <b/>
            <sz val="9"/>
            <color indexed="81"/>
            <rFont val="Segoe UI"/>
            <charset val="1"/>
          </rPr>
          <t>All Reviews:_x000D_
7097425:1.8_x000D_
6895945:1.7_x000D_
6864332:1.6_x000D_
6639276:1.5_x000D_
6542335:1.4_x000D_
6517107:1.4_x000D_
6460372:1.4_x000D_
6256106:1.3_x000D_
6252219:1.3_x000D_
5901364:1.2_x000D_
5873328:1.1</t>
        </r>
      </text>
    </comment>
    <comment ref="L79" authorId="4" shapeId="0" xr:uid="{A43D0CB1-C5D1-4C4C-8C38-9C03D1DCE578}">
      <text>
        <r>
          <rPr>
            <b/>
            <sz val="9"/>
            <color indexed="81"/>
            <rFont val="Segoe UI"/>
            <charset val="1"/>
          </rPr>
          <t>All Reviews:_x000D_
6542413:1.4_x000D_
6517163:1.4_x000D_
6460444:1.4_x000D_
6252299:1.3_x000D_
6256213:1.3</t>
        </r>
      </text>
    </comment>
    <comment ref="E80" authorId="4" shapeId="0" xr:uid="{93129523-51F8-44B5-9AF5-83AE0D5413AE}">
      <text>
        <r>
          <rPr>
            <b/>
            <sz val="9"/>
            <color indexed="81"/>
            <rFont val="Segoe UI"/>
            <charset val="1"/>
          </rPr>
          <t>All Reviews:_x000D_
7097436:1.20_x000D_
6965455:1.19_x000D_
6864327:1.18_x000D_
6823807:1.17_x000D_
6639294:1.16_x000D_
6542376:1.15_x000D_
6517139:1.13.1.3_x000D_
6479884:1.12.1.3_x000D_
6493490:1.10.1.2_x000D_
6460426:1.10.1.1_x000D_
6386427:1.12_x000D_
6319276:1.11_x000D_
6256147:1.10_x000D_
6252261:1.10_x000D_
6222608:1.9_x000D_
6220529:1.9_x000D_
6154983:1.7_x000D_
6133076:1.7_x000D_
6133076:1.8_x000D_
6100086:1.3_x000D_
6100086:1.7_x000D_
5960572:1.3_x000D_
5901377:1.3_x000D_
5901377:1.2_x000D_
5873340:1.1</t>
        </r>
      </text>
    </comment>
    <comment ref="H80" authorId="4" shapeId="0" xr:uid="{980C84E0-AAAE-4298-BD7A-1E7B9D46313B}">
      <text>
        <r>
          <rPr>
            <b/>
            <sz val="9"/>
            <color indexed="81"/>
            <rFont val="Segoe UI"/>
            <charset val="1"/>
          </rPr>
          <t>All Reviews:_x000D_
7097425:1.20_x000D_
6965444:1.19_x000D_
6864332:1.18_x000D_
6823763:1.17_x000D_
6639276:1.16_x000D_
6542335:1.15_x000D_
6517107:1.13.1.3_x000D_
6479805:1.12.1.3_x000D_
6493441:1.10.1.2_x000D_
6460372:1.10.1.1_x000D_
6386350:1.12_x000D_
6319208:1.11_x000D_
6256106:1.10_x000D_
6252219:1.10_x000D_
6220510:1.9_x000D_
6222565:1.9_x000D_
6154950:1.7_x000D_
6133042:1.7_x000D_
6133042:1.8_x000D_
6100054:1.3_x000D_
6100054:1.7_x000D_
5960698:1.3_x000D_
5901364:1.2_x000D_
5901364:1.3_x000D_
5873328:1.1</t>
        </r>
      </text>
    </comment>
    <comment ref="L80" authorId="4" shapeId="0" xr:uid="{2EDBE3C2-A757-4BE5-9584-48587AD3B0F2}">
      <text>
        <r>
          <rPr>
            <b/>
            <sz val="9"/>
            <color indexed="81"/>
            <rFont val="Segoe UI"/>
            <charset val="1"/>
          </rPr>
          <t>All Reviews:_x000D_
6823843:1.17_x000D_
6542413:1.15_x000D_
6517163:1.13.1.3_x000D_
6479937:1.12.1.3_x000D_
6493502:1.10.1.2_x000D_
6460444:1.10.1.1_x000D_
6386460:1.12_x000D_
6252299:1.10_x000D_
6256213:1.10_x000D_
6220552:1.9_x000D_
6133092:1.7_x000D_
6133092:1.8_x000D_
6100112:1.3_x000D_
6100112:1.7_x000D_
5960900:1.3</t>
        </r>
      </text>
    </comment>
    <comment ref="E81" authorId="4" shapeId="0" xr:uid="{D4166AAB-F931-404A-B79D-455755191FF3}">
      <text>
        <r>
          <rPr>
            <b/>
            <sz val="9"/>
            <color indexed="81"/>
            <rFont val="Segoe UI"/>
            <charset val="1"/>
          </rPr>
          <t>All Reviews:_x000D_
6542376:1.5_x000D_
6517139:1.5_x000D_
6460426:1.5_x000D_
6256147:1.4_x000D_
6252261:1.4_x000D_
5960572:1.3_x000D_
5901377:1.2_x000D_
5873340:1.1</t>
        </r>
      </text>
    </comment>
    <comment ref="H81" authorId="4" shapeId="0" xr:uid="{A90C240D-A382-471E-B662-776385B4D256}">
      <text>
        <r>
          <rPr>
            <b/>
            <sz val="9"/>
            <color indexed="81"/>
            <rFont val="Segoe UI"/>
            <charset val="1"/>
          </rPr>
          <t>All Reviews:_x000D_
6542335:1.5_x000D_
6517107:1.5_x000D_
6460372:1.5_x000D_
6256106:1.4_x000D_
6252219:1.4_x000D_
5960698:1.3_x000D_
5901364:1.2_x000D_
5873328:1.1</t>
        </r>
      </text>
    </comment>
    <comment ref="L81" authorId="4" shapeId="0" xr:uid="{C9FC9EEF-86E0-4D67-83C7-5ABD0479B543}">
      <text>
        <r>
          <rPr>
            <b/>
            <sz val="9"/>
            <color indexed="81"/>
            <rFont val="Segoe UI"/>
            <charset val="1"/>
          </rPr>
          <t>All Reviews:_x000D_
6542413:1.5_x000D_
6517163:1.5_x000D_
6460444:1.5_x000D_
6252299:1.4_x000D_
6256213:1.4_x000D_
5960900:1.3</t>
        </r>
      </text>
    </comment>
    <comment ref="E82" authorId="4" shapeId="0" xr:uid="{E1FAE26A-D967-4F56-8811-F5EFF91B11F3}">
      <text>
        <r>
          <rPr>
            <b/>
            <sz val="9"/>
            <color indexed="81"/>
            <rFont val="Segoe UI"/>
            <charset val="1"/>
          </rPr>
          <t>All Reviews:_x000D_
6965455:1.11_x000D_
6542376:1.10_x000D_
6517139:1.10_x000D_
6460426:1.9_x000D_
6256147:1.8_x000D_
6252261:1.8_x000D_
6222608:1.7_x000D_
6220529:1.7_x000D_
5985824:1.4_x000D_
5985824:1.6_x000D_
5985824:1.6_x000D_
5960572:1.4_x000D_
5901377:1.3_x000D_
5901377:1.2_x000D_
5873340:1.1</t>
        </r>
      </text>
    </comment>
    <comment ref="H82" authorId="4" shapeId="0" xr:uid="{2F6E8B87-A23E-4B61-A9EB-539C2F848F4F}">
      <text>
        <r>
          <rPr>
            <b/>
            <sz val="9"/>
            <color indexed="81"/>
            <rFont val="Segoe UI"/>
            <charset val="1"/>
          </rPr>
          <t>All Reviews:_x000D_
6965444:1.11_x000D_
6542335:1.10_x000D_
6517107:1.10_x000D_
6460372:1.9_x000D_
6256106:1.8_x000D_
6252219:1.8_x000D_
6222565:1.7_x000D_
6220510:1.7_x000D_
5985814:1.6_x000D_
5985814:1.4_x000D_
5985814:1.6_x000D_
5960698:1.4_x000D_
5901364:1.2_x000D_
5901364:1.3_x000D_
5873328:1.1</t>
        </r>
      </text>
    </comment>
    <comment ref="L82" authorId="4" shapeId="0" xr:uid="{1BFA11E4-564F-4A02-B9E7-118A838B75C0}">
      <text>
        <r>
          <rPr>
            <b/>
            <sz val="9"/>
            <color indexed="81"/>
            <rFont val="Segoe UI"/>
            <charset val="1"/>
          </rPr>
          <t>All Reviews:_x000D_
6542413:1.10_x000D_
6517163:1.10_x000D_
6460444:1.9_x000D_
6252299:1.8_x000D_
6256213:1.8_x000D_
6220552:1.7_x000D_
5985841:1.4_x000D_
5985841:1.6_x000D_
5960900:1.4</t>
        </r>
      </text>
    </comment>
    <comment ref="E83" authorId="4" shapeId="0" xr:uid="{8D2FF785-D94B-425B-B7B5-C740B9119F14}">
      <text>
        <r>
          <rPr>
            <b/>
            <sz val="9"/>
            <color indexed="81"/>
            <rFont val="Segoe UI"/>
            <charset val="1"/>
          </rPr>
          <t>All Reviews:_x000D_
6965455:1.6_x000D_
6639294:1.5_x000D_
6542376:1.4_x000D_
6517139:1.4_x000D_
6460426:1.4_x000D_
6256147:1.3_x000D_
6252261:1.3_x000D_
5901377:1.2_x000D_
5873340:1.1</t>
        </r>
      </text>
    </comment>
    <comment ref="H83" authorId="4" shapeId="0" xr:uid="{03729F66-2BF0-4ECE-BB4F-B9335ED0EB94}">
      <text>
        <r>
          <rPr>
            <b/>
            <sz val="9"/>
            <color indexed="81"/>
            <rFont val="Segoe UI"/>
            <charset val="1"/>
          </rPr>
          <t>All Reviews:_x000D_
6965444:1.6_x000D_
6639276:1.5_x000D_
6542335:1.4_x000D_
6517107:1.4_x000D_
6460372:1.4_x000D_
6256106:1.3_x000D_
6252219:1.3_x000D_
5901364:1.2_x000D_
5873328:1.1</t>
        </r>
      </text>
    </comment>
    <comment ref="L83" authorId="4" shapeId="0" xr:uid="{D186AE0A-B990-46B9-A31D-4B047945FF45}">
      <text>
        <r>
          <rPr>
            <b/>
            <sz val="9"/>
            <color indexed="81"/>
            <rFont val="Segoe UI"/>
            <charset val="1"/>
          </rPr>
          <t>All Reviews:_x000D_
6542413:1.4_x000D_
6517163:1.4_x000D_
6460444:1.4_x000D_
6252299:1.3_x000D_
6256213:1.3</t>
        </r>
      </text>
    </comment>
    <comment ref="E84" authorId="4" shapeId="0" xr:uid="{3D2D2C21-7CDD-4939-A53A-259735214E40}">
      <text>
        <r>
          <rPr>
            <b/>
            <sz val="9"/>
            <color indexed="81"/>
            <rFont val="Segoe UI"/>
            <charset val="1"/>
          </rPr>
          <t>All Reviews:_x000D_
6965455:1.9_x000D_
6823807:1.8_x000D_
6542376:1.7_x000D_
6517139:1.7_x000D_
6460426:1.5_x000D_
6256147:1.4_x000D_
6252261:1.4_x000D_
6222608:1.3_x000D_
6220529:1.3_x000D_
5960572:1.2_x000D_
5901377:1.2_x000D_
5873340:1.1</t>
        </r>
      </text>
    </comment>
    <comment ref="H84" authorId="4" shapeId="0" xr:uid="{237202F1-5D06-45FF-B2DB-7AAEA0945BF4}">
      <text>
        <r>
          <rPr>
            <b/>
            <sz val="9"/>
            <color indexed="81"/>
            <rFont val="Segoe UI"/>
            <charset val="1"/>
          </rPr>
          <t>All Reviews:_x000D_
6965444:1.9_x000D_
6823763:1.8_x000D_
6542335:1.7_x000D_
6517107:1.7_x000D_
6460372:1.5_x000D_
6256106:1.4_x000D_
6252219:1.4_x000D_
6222565:1.3_x000D_
6220510:1.3_x000D_
5960698:1.2_x000D_
5901364:1.2_x000D_
5873328:1.1</t>
        </r>
      </text>
    </comment>
    <comment ref="L84" authorId="4" shapeId="0" xr:uid="{1917C5C6-D94F-4E2A-A4F5-B669CD5E6B3A}">
      <text>
        <r>
          <rPr>
            <b/>
            <sz val="9"/>
            <color indexed="81"/>
            <rFont val="Segoe UI"/>
            <charset val="1"/>
          </rPr>
          <t>All Reviews:_x000D_
6823843:1.8_x000D_
6542413:1.7_x000D_
6517163:1.7_x000D_
6460444:1.5_x000D_
6252299:1.4_x000D_
6256213:1.4_x000D_
6220552:1.3_x000D_
5960900:1.2</t>
        </r>
      </text>
    </comment>
    <comment ref="E85" authorId="4" shapeId="0" xr:uid="{FFFF8726-66CA-43F6-B363-A518CF7344FF}">
      <text>
        <r>
          <rPr>
            <b/>
            <sz val="9"/>
            <color indexed="81"/>
            <rFont val="Segoe UI"/>
            <charset val="1"/>
          </rPr>
          <t>All Reviews:_x000D_
6965455:1.6_x000D_
6639294:1.5_x000D_
6542376:1.4_x000D_
6517139:1.4_x000D_
6460426:1.4_x000D_
6256147:1.3_x000D_
6252261:1.3_x000D_
5901377:1.2_x000D_
5873340:1.1</t>
        </r>
      </text>
    </comment>
    <comment ref="H85" authorId="4" shapeId="0" xr:uid="{732D646D-2045-415C-9218-69C6153A4E45}">
      <text>
        <r>
          <rPr>
            <b/>
            <sz val="9"/>
            <color indexed="81"/>
            <rFont val="Segoe UI"/>
            <charset val="1"/>
          </rPr>
          <t>All Reviews:_x000D_
6965444:1.6_x000D_
6639276:1.5_x000D_
6542335:1.4_x000D_
6517107:1.4_x000D_
6460372:1.4_x000D_
6256106:1.3_x000D_
6252219:1.3_x000D_
5901364:1.2_x000D_
5873328:1.1</t>
        </r>
      </text>
    </comment>
    <comment ref="L85" authorId="4" shapeId="0" xr:uid="{2205086F-7A79-4E6C-A2E7-032A03F7EA74}">
      <text>
        <r>
          <rPr>
            <b/>
            <sz val="9"/>
            <color indexed="81"/>
            <rFont val="Segoe UI"/>
            <charset val="1"/>
          </rPr>
          <t>All Reviews:_x000D_
6542413:1.4_x000D_
6517163:1.4_x000D_
6460444:1.4_x000D_
6252299:1.3_x000D_
6256213:1.3</t>
        </r>
      </text>
    </comment>
    <comment ref="E86" authorId="4" shapeId="0" xr:uid="{EF4D1139-AE95-4B83-A459-2D4DBB7E3C72}">
      <text>
        <r>
          <rPr>
            <b/>
            <sz val="9"/>
            <color indexed="81"/>
            <rFont val="Segoe UI"/>
            <charset val="1"/>
          </rPr>
          <t>All Reviews:_x000D_
7167465:1.48_x000D_
7097436:1.46_x000D_
6965455:1.45_x000D_
6895936:1.43_x000D_
6823807:1.42_x000D_
6791725:1.39_x000D_
6763122:1.38_x000D_
6718691:1.37_x000D_
6669828:1.34_x000D_
6639294:1.33_x000D_
6572143:1.28.1.2_x000D_
6542376:1.32_x000D_
6517139:1.32.1.1_x000D_
6460426:1.28.1.1_x000D_
6386427:1.31_x000D_
6349402:1.30_x000D_
6256147:1.28_x000D_
6252261:1.28_x000D_
6222608:1.27_x000D_
6220529:1.27_x000D_
6100086:1.20_x000D_
6100086:1.25_x000D_
6013212:1.19_x000D_
6013212:1.20_x000D_
5960572:1.19_x000D_
5901377:1.18_x000D_
5901377:1.17_x000D_
5782684:1.16_x000D_
5750786:1.14_x000D_
5750786:1.13_x000D_
5699972:1.12_x000D_
5676799:1.10_x000D_
5676799:1.11_x000D_
5597944:1.8_x000D_
5597944:1.7_x000D_
5597944:1.6_x000D_
5597944:1.5_x000D_
5597944:1.9_x000D_
5574563:1.4</t>
        </r>
      </text>
    </comment>
    <comment ref="H86" authorId="4" shapeId="0" xr:uid="{095B6547-64D6-44D1-AC1E-DA329A0F1050}">
      <text>
        <r>
          <rPr>
            <b/>
            <sz val="9"/>
            <color indexed="81"/>
            <rFont val="Segoe UI"/>
            <charset val="1"/>
          </rPr>
          <t>All Reviews:_x000D_
7167528:1.48_x000D_
7097425:1.46_x000D_
6965444:1.45_x000D_
6895945:1.43_x000D_
6823763:1.42_x000D_
6791679:1.39_x000D_
6763099:1.38_x000D_
6718673:1.37_x000D_
6669809:1.34_x000D_
6639276:1.33_x000D_
6572133:1.28.1.2_x000D_
6542335:1.32_x000D_
6517107:1.32.1.1_x000D_
6460372:1.28.1.1_x000D_
6386350:1.31_x000D_
6349391:1.30_x000D_
6256106:1.28_x000D_
6252219:1.28_x000D_
6222565:1.27_x000D_
6220510:1.27_x000D_
6100054:1.20_x000D_
6100054:1.25_x000D_
6013186:1.19_x000D_
6013186:1.20_x000D_
5960698:1.19_x000D_
5901364:1.18_x000D_
5901364:1.17_x000D_
5782710:1.16_x000D_
5750764:1.13_x000D_
5750764:1.14_x000D_
5699934:1.12_x000D_
5676734:1.10_x000D_
5676734:1.11_x000D_
5597881:1.7_x000D_
5597881:1.6_x000D_
5597881:1.5_x000D_
5597881:1.9_x000D_
5597881:1.8_x000D_
5574505:1.4</t>
        </r>
      </text>
    </comment>
    <comment ref="L86" authorId="4" shapeId="0" xr:uid="{8BA37A10-E24D-484A-9F76-B4C5E8FBB95D}">
      <text>
        <r>
          <rPr>
            <b/>
            <sz val="9"/>
            <color indexed="81"/>
            <rFont val="Segoe UI"/>
            <charset val="1"/>
          </rPr>
          <t>All Reviews:_x000D_
6823843:1.42_x000D_
6763142:1.38_x000D_
6669839:1.34_x000D_
6572150:1.28.1.2_x000D_
6542413:1.32_x000D_
6517163:1.32.1.1_x000D_
6460444:1.28.1.1_x000D_
6386460:1.31_x000D_
6349413:1.30_x000D_
6252299:1.28_x000D_
6256213:1.28_x000D_
6220552:1.27_x000D_
6100112:1.20_x000D_
6100112:1.25_x000D_
6013226:1.19_x000D_
6013226:1.20_x000D_
5960900:1.19_x000D_
5782725:1.16</t>
        </r>
      </text>
    </comment>
    <comment ref="E87" authorId="4" shapeId="0" xr:uid="{8DE5294A-E61E-4034-B84A-596D309EBE2F}">
      <text>
        <r>
          <rPr>
            <b/>
            <sz val="9"/>
            <color indexed="81"/>
            <rFont val="Segoe UI"/>
            <charset val="1"/>
          </rPr>
          <t>All Reviews:_x000D_
7167465:1.34_x000D_
7097436:1.32_x000D_
6965455:1.30_x000D_
6883711:1.22.1.3_x000D_
6823807:1.29_x000D_
6669828:1.26_x000D_
6639294:1.25_x000D_
6542376:1.24_x000D_
6512287:1.21_x000D_
6517139:1.22.1.1_x000D_
6479884:1.19_x000D_
6460426:1.17.1.1_x000D_
6349402:1.18_x000D_
6222608:1.17_x000D_
6220529:1.17_x000D_
6100086:1.13_x000D_
6100086:1.16_x000D_
6041848:1.12_x000D_
6041848:1.13_x000D_
5960572:1.12_x000D_
5901377:1.11_x000D_
5750786:1.9_x000D_
5750786:1.10_x000D_
5676799:1.6_x000D_
5676799:1.8_x000D_
5676799:1.7_x000D_
5597944:1.5</t>
        </r>
      </text>
    </comment>
    <comment ref="H87" authorId="4" shapeId="0" xr:uid="{53F68BC3-564B-4FDA-9794-4D394AC6EA1B}">
      <text>
        <r>
          <rPr>
            <b/>
            <sz val="9"/>
            <color indexed="81"/>
            <rFont val="Segoe UI"/>
            <charset val="1"/>
          </rPr>
          <t>All Reviews:_x000D_
7167528:1.34_x000D_
7097425:1.32_x000D_
6965444:1.30_x000D_
6883680:1.22.1.3_x000D_
6823763:1.29_x000D_
6669809:1.26_x000D_
6639276:1.25_x000D_
6542335:1.24_x000D_
6517107:1.22.1.1_x000D_
6512272:1.21_x000D_
6479805:1.19_x000D_
6460372:1.17.1.1_x000D_
6349391:1.18_x000D_
6222565:1.17_x000D_
6220510:1.17_x000D_
6100054:1.13_x000D_
6100054:1.16_x000D_
6041805:1.12_x000D_
6041805:1.13_x000D_
5960698:1.12_x000D_
5901364:1.11_x000D_
5750764:1.9_x000D_
5750764:1.10_x000D_
5676734:1.6_x000D_
5676734:1.8_x000D_
5676734:1.7_x000D_
5597881:1.5_x000D_
5574505:1.4_x000D_
5574505:1.3</t>
        </r>
      </text>
    </comment>
    <comment ref="L87" authorId="4" shapeId="0" xr:uid="{88E21DD7-F56C-4721-859D-7655B9883FFC}">
      <text>
        <r>
          <rPr>
            <b/>
            <sz val="9"/>
            <color indexed="81"/>
            <rFont val="Segoe UI"/>
            <charset val="1"/>
          </rPr>
          <t>All Reviews:_x000D_
6883741:1.22.1.3_x000D_
6823843:1.29_x000D_
6669839:1.26_x000D_
6542413:1.24_x000D_
6512296:1.21_x000D_
6517163:1.22.1.1_x000D_
6479937:1.19_x000D_
6460444:1.17.1.1_x000D_
6349413:1.18_x000D_
6220552:1.17_x000D_
6100112:1.13_x000D_
6100112:1.16_x000D_
6041859:1.12_x000D_
6041859:1.13_x000D_
5960900:1.12_x000D_
5782725:1.10</t>
        </r>
      </text>
    </comment>
    <comment ref="E88" authorId="4" shapeId="0" xr:uid="{DF5EB7EC-5EA1-4039-A6E0-CF40088E1D45}">
      <text>
        <r>
          <rPr>
            <b/>
            <sz val="9"/>
            <color indexed="81"/>
            <rFont val="Segoe UI"/>
            <charset val="1"/>
          </rPr>
          <t>All Reviews:_x000D_
7167465:1.21_x000D_
7036505:1.20_x000D_
6883711:1.13.1.2_x000D_
6823807:1.19_x000D_
6669828:1.16_x000D_
6639294:1.15_x000D_
6542376:1.14_x000D_
6517139:1.13.1.1_x000D_
6460426:1.11.1.1_x000D_
6349402:1.12_x000D_
6222608:1.11_x000D_
6220529:1.11_x000D_
6100086:1.8_x000D_
6100086:1.10_x000D_
5960572:1.8_x000D_
5901377:1.7_x000D_
5750786:1.5_x000D_
5750786:1.6_x000D_
5597944:1.4</t>
        </r>
      </text>
    </comment>
    <comment ref="H88" authorId="4" shapeId="0" xr:uid="{2A6D9167-56FD-444B-A28E-DC5F380D69E3}">
      <text>
        <r>
          <rPr>
            <b/>
            <sz val="9"/>
            <color indexed="81"/>
            <rFont val="Segoe UI"/>
            <charset val="1"/>
          </rPr>
          <t>All Reviews:_x000D_
7167528:1.21_x000D_
7036605:1.20_x000D_
6883680:1.13.1.2_x000D_
6823763:1.19_x000D_
6669809:1.16_x000D_
6639276:1.15_x000D_
6542335:1.14_x000D_
6517107:1.13.1.1_x000D_
6460372:1.11.1.1_x000D_
6349391:1.12_x000D_
6222565:1.11_x000D_
6220510:1.11_x000D_
6100054:1.8_x000D_
6100054:1.10_x000D_
5960698:1.8_x000D_
5901364:1.7_x000D_
5750764:1.6_x000D_
5750764:1.5_x000D_
5597881:1.4_x000D_
5574505:1.3</t>
        </r>
      </text>
    </comment>
    <comment ref="L88" authorId="4" shapeId="0" xr:uid="{F73A73B8-C6B4-4DAA-BE70-DD9450233C92}">
      <text>
        <r>
          <rPr>
            <b/>
            <sz val="9"/>
            <color indexed="81"/>
            <rFont val="Segoe UI"/>
            <charset val="1"/>
          </rPr>
          <t>All Reviews:_x000D_
6883741:1.13.1.2_x000D_
6823843:1.19_x000D_
6669839:1.16_x000D_
6542413:1.14_x000D_
6517163:1.13.1.1_x000D_
6460444:1.11.1.1_x000D_
6349413:1.12_x000D_
6220552:1.11_x000D_
6100112:1.8_x000D_
6100112:1.10_x000D_
5960900:1.8</t>
        </r>
      </text>
    </comment>
    <comment ref="E89" authorId="4" shapeId="0" xr:uid="{3A2BB703-70CD-4EBE-97C2-0B5CFE10B71E}">
      <text>
        <r>
          <rPr>
            <b/>
            <sz val="9"/>
            <color indexed="81"/>
            <rFont val="Segoe UI"/>
            <charset val="1"/>
          </rPr>
          <t>All Reviews:_x000D_
7036505:1.10_x000D_
6542376:1.9_x000D_
6517139:1.9_x000D_
6460426:1.8_x000D_
6222608:1.7_x000D_
6220529:1.7_x000D_
6100086:1.5_x000D_
6100086:1.6_x000D_
5782684:1.5_x000D_
5750786:1.4_x000D_
5597944:1.3</t>
        </r>
      </text>
    </comment>
    <comment ref="H89" authorId="4" shapeId="0" xr:uid="{594F09BD-0675-47E6-A9B2-6B7F5C19FB3C}">
      <text>
        <r>
          <rPr>
            <b/>
            <sz val="9"/>
            <color indexed="81"/>
            <rFont val="Segoe UI"/>
            <charset val="1"/>
          </rPr>
          <t>All Reviews:_x000D_
7036605:1.10_x000D_
6542335:1.9_x000D_
6517107:1.9_x000D_
6460372:1.8_x000D_
6222565:1.7_x000D_
6220510:1.7_x000D_
6100054:1.5_x000D_
6100054:1.6_x000D_
5782710:1.5_x000D_
5750764:1.4_x000D_
5597881:1.3</t>
        </r>
      </text>
    </comment>
    <comment ref="L89" authorId="4" shapeId="0" xr:uid="{0823E84B-A411-4759-A2D3-3065D73E14B9}">
      <text>
        <r>
          <rPr>
            <b/>
            <sz val="9"/>
            <color indexed="81"/>
            <rFont val="Segoe UI"/>
            <charset val="1"/>
          </rPr>
          <t>All Reviews:_x000D_
6542413:1.9_x000D_
6517163:1.9_x000D_
6460444:1.8_x000D_
6220552:1.7_x000D_
6100112:1.5_x000D_
6100112:1.6_x000D_
5782725:1.5</t>
        </r>
      </text>
    </comment>
    <comment ref="E90" authorId="4" shapeId="0" xr:uid="{582D753B-1DE3-4B7A-9346-4D299B9A0CC9}">
      <text>
        <r>
          <rPr>
            <b/>
            <sz val="9"/>
            <color indexed="81"/>
            <rFont val="Segoe UI"/>
            <charset val="1"/>
          </rPr>
          <t>All Reviews:_x000D_
6639294:1.8_x000D_
6542376:1.7_x000D_
6517139:1.7_x000D_
6460426:1.7_x000D_
6100086:1.5_x000D_
6100086:1.6_x000D_
5782684:1.5_x000D_
5750786:1.4_x000D_
5597944:1.3</t>
        </r>
      </text>
    </comment>
    <comment ref="H90" authorId="4" shapeId="0" xr:uid="{A54637AB-84EC-4C48-8EE8-7911AF6AC377}">
      <text>
        <r>
          <rPr>
            <b/>
            <sz val="9"/>
            <color indexed="81"/>
            <rFont val="Segoe UI"/>
            <charset val="1"/>
          </rPr>
          <t>All Reviews:_x000D_
6639276:1.8_x000D_
6542335:1.7_x000D_
6517107:1.7_x000D_
6460372:1.7_x000D_
6100054:1.5_x000D_
6100054:1.6_x000D_
5782710:1.5_x000D_
5750764:1.4_x000D_
5597881:1.3</t>
        </r>
      </text>
    </comment>
    <comment ref="L90" authorId="4" shapeId="0" xr:uid="{EC57BF6E-6037-47F3-BD4C-E3EB4B508B1E}">
      <text>
        <r>
          <rPr>
            <b/>
            <sz val="9"/>
            <color indexed="81"/>
            <rFont val="Segoe UI"/>
            <charset val="1"/>
          </rPr>
          <t>All Reviews:_x000D_
6542413:1.7_x000D_
6517163:1.7_x000D_
6460444:1.7_x000D_
6100112:1.5_x000D_
6100112:1.6</t>
        </r>
      </text>
    </comment>
    <comment ref="E91" authorId="4" shapeId="0" xr:uid="{49D66AB2-D1A9-44FE-8866-03DE308E02B1}">
      <text>
        <r>
          <rPr>
            <b/>
            <sz val="9"/>
            <color indexed="81"/>
            <rFont val="Segoe UI"/>
            <charset val="1"/>
          </rPr>
          <t>All Reviews:_x000D_
7167465:1.19_x000D_
7097436:1.17_x000D_
6965455:1.16_x000D_
6823807:1.15_x000D_
6572143:1.11.1.3_x000D_
6542376:1.14_x000D_
6517139:1.13_x000D_
6460426:1.11.1.1_x000D_
6419402:1.12_x000D_
6222608:1.11_x000D_
6220529:1.11_x000D_
6202562:1.10_x000D_
6100086:1.7_x000D_
6100086:1.9_x000D_
6013212:1.6_x000D_
6013212:1.7_x000D_
5960572:1.6_x000D_
5901377:1.6_x000D_
5750786:1.5_x000D_
5699972:1.4_x000D_
5597944:1.3</t>
        </r>
      </text>
    </comment>
    <comment ref="H91" authorId="4" shapeId="0" xr:uid="{E4278B57-67DF-426E-AEA9-0EA543754730}">
      <text>
        <r>
          <rPr>
            <b/>
            <sz val="9"/>
            <color indexed="81"/>
            <rFont val="Segoe UI"/>
            <charset val="1"/>
          </rPr>
          <t>All Reviews:_x000D_
7167528:1.19_x000D_
7097425:1.17_x000D_
6965444:1.16_x000D_
6823763:1.15_x000D_
6572133:1.11.1.3_x000D_
6542335:1.14_x000D_
6517107:1.13_x000D_
6460372:1.11.1.1_x000D_
6419371:1.12_x000D_
6222565:1.11_x000D_
6220510:1.11_x000D_
6202551:1.10_x000D_
6100054:1.7_x000D_
6100054:1.9_x000D_
6013186:1.7_x000D_
6013186:1.6_x000D_
5960698:1.6_x000D_
5901364:1.6_x000D_
5750764:1.5_x000D_
5699934:1.4_x000D_
5597881:1.3</t>
        </r>
      </text>
    </comment>
    <comment ref="L91" authorId="4" shapeId="0" xr:uid="{C4AC325E-E6CD-49FC-9704-598410D25792}">
      <text>
        <r>
          <rPr>
            <b/>
            <sz val="9"/>
            <color indexed="81"/>
            <rFont val="Segoe UI"/>
            <charset val="1"/>
          </rPr>
          <t>All Reviews:_x000D_
6823843:1.15_x000D_
6572150:1.11.1.3_x000D_
6542413:1.14_x000D_
6517163:1.13_x000D_
6460444:1.11.1.1_x000D_
6419433:1.12_x000D_
6220552:1.11_x000D_
6100112:1.7_x000D_
6100112:1.9_x000D_
6013226:1.6_x000D_
6013226:1.7_x000D_
5960900:1.6_x000D_
5782725:1.5</t>
        </r>
      </text>
    </comment>
    <comment ref="E92" authorId="4" shapeId="0" xr:uid="{F4412943-C506-4399-B821-B7CA27254988}">
      <text>
        <r>
          <rPr>
            <b/>
            <sz val="9"/>
            <color indexed="81"/>
            <rFont val="Segoe UI"/>
            <charset val="1"/>
          </rPr>
          <t>All Reviews:_x000D_
7167465:1.16_x000D_
6965455:1.15_x000D_
6639294:1.13_x000D_
6572143:1.11.1.1_x000D_
6542376:1.12_x000D_
6517139:1.12_x000D_
6460426:1.11_x000D_
6100086:1.9_x000D_
6100086:1.10_x000D_
6013212:1.8_x000D_
6013212:1.9_x000D_
5901377:1.8_x000D_
5750786:1.6_x000D_
5750786:1.7_x000D_
5699972:1.5_x000D_
5597944:1.4_x000D_
5574563:1.3</t>
        </r>
      </text>
    </comment>
    <comment ref="H92" authorId="4" shapeId="0" xr:uid="{7630E345-0AB9-47B2-8DD8-6FAF48013AAA}">
      <text>
        <r>
          <rPr>
            <b/>
            <sz val="9"/>
            <color indexed="81"/>
            <rFont val="Segoe UI"/>
            <charset val="1"/>
          </rPr>
          <t>All Reviews:_x000D_
7167528:1.16_x000D_
6965444:1.15_x000D_
6639276:1.13_x000D_
6572133:1.11.1.1_x000D_
6542335:1.12_x000D_
6517107:1.12_x000D_
6460372:1.11_x000D_
6100054:1.9_x000D_
6100054:1.10_x000D_
6013186:1.8_x000D_
6013186:1.9_x000D_
5901364:1.8_x000D_
5750764:1.6_x000D_
5750764:1.7_x000D_
5699934:1.5_x000D_
5597881:1.4_x000D_
5574505:1.3</t>
        </r>
      </text>
    </comment>
    <comment ref="L92" authorId="4" shapeId="0" xr:uid="{17D22F11-B5DC-48C1-AE05-A2F806BDF69F}">
      <text>
        <r>
          <rPr>
            <b/>
            <sz val="9"/>
            <color indexed="81"/>
            <rFont val="Segoe UI"/>
            <charset val="1"/>
          </rPr>
          <t>All Reviews:_x000D_
6572150:1.11.1.1_x000D_
6542413:1.12_x000D_
6517163:1.12_x000D_
6460444:1.11_x000D_
6100112:1.9_x000D_
6100112:1.10_x000D_
6013226:1.8_x000D_
6013226:1.9</t>
        </r>
      </text>
    </comment>
    <comment ref="E93" authorId="4" shapeId="0" xr:uid="{6B6D422C-691C-4244-860D-773BC09D3B26}">
      <text>
        <r>
          <rPr>
            <b/>
            <sz val="9"/>
            <color indexed="81"/>
            <rFont val="Segoe UI"/>
            <charset val="1"/>
          </rPr>
          <t>All Reviews:_x000D_
7167463:1.13.1.1_x000D_
7167465:1.21_x000D_
7097436:1.19_x000D_
7036505:1.18_x000D_
6965455:1.17_x000D_
6864327:1.16_x000D_
6823807:1.15_x000D_
6542376:1.14_x000D_
6517139:1.13_x000D_
6493490:1.12_x000D_
6460426:1.11_x000D_
6256147:1.10_x000D_
6252261:1.10_x000D_
6222608:1.9_x000D_
6220529:1.9_x000D_
6100086:1.7_x000D_
6100086:1.8_x000D_
5960572:1.7_x000D_
5812620:1.7_x000D_
5750786:1.6_x000D_
5597944:1.5_x000D_
5491080:1.4</t>
        </r>
      </text>
    </comment>
    <comment ref="H93" authorId="4" shapeId="0" xr:uid="{DD92BB66-A8C7-4F9D-BCD4-5FA6CB2030FF}">
      <text>
        <r>
          <rPr>
            <b/>
            <sz val="9"/>
            <color indexed="81"/>
            <rFont val="Segoe UI"/>
            <charset val="1"/>
          </rPr>
          <t>All Reviews:_x000D_
7167528:1.21_x000D_
7167526:1.13.1.1_x000D_
7097425:1.19_x000D_
7036605:1.18_x000D_
6965444:1.17_x000D_
6864332:1.16_x000D_
6823763:1.15_x000D_
6542335:1.14_x000D_
6517107:1.13_x000D_
6493441:1.12_x000D_
6460372:1.11_x000D_
6256106:1.10_x000D_
6252219:1.10_x000D_
6222565:1.9_x000D_
6220510:1.9_x000D_
6100054:1.7_x000D_
6100054:1.8_x000D_
5960698:1.7_x000D_
5812496:1.7_x000D_
5750764:1.6_x000D_
5597881:1.5_x000D_
5490904:1.4</t>
        </r>
      </text>
    </comment>
    <comment ref="L93" authorId="4" shapeId="0" xr:uid="{A63444B3-D535-41FA-A200-38663AAF916F}">
      <text>
        <r>
          <rPr>
            <b/>
            <sz val="9"/>
            <color indexed="81"/>
            <rFont val="Segoe UI"/>
            <charset val="1"/>
          </rPr>
          <t>All Reviews:_x000D_
6823843:1.15_x000D_
6542413:1.14_x000D_
6517163:1.13_x000D_
6493502:1.12_x000D_
6460444:1.11_x000D_
6252299:1.10_x000D_
6256213:1.10_x000D_
6220552:1.9_x000D_
6100112:1.7_x000D_
6100112:1.8_x000D_
5960900:1.7_x000D_
5782725:1.6</t>
        </r>
      </text>
    </comment>
    <comment ref="E94" authorId="4" shapeId="0" xr:uid="{7E6B2231-07CD-41D9-B29F-0785E0CA7ED8}">
      <text>
        <r>
          <rPr>
            <b/>
            <sz val="9"/>
            <color indexed="81"/>
            <rFont val="Segoe UI"/>
            <charset val="1"/>
          </rPr>
          <t>All Reviews:_x000D_
6639294:1.8_x000D_
6542376:1.7_x000D_
6517139:1.7_x000D_
6460426:1.7_x000D_
5812620:1.6_x000D_
5750786:1.5_x000D_
5597944:1.4</t>
        </r>
      </text>
    </comment>
    <comment ref="H94" authorId="4" shapeId="0" xr:uid="{18E09588-F95E-43E7-BEDA-2FF3328C59D7}">
      <text>
        <r>
          <rPr>
            <b/>
            <sz val="9"/>
            <color indexed="81"/>
            <rFont val="Segoe UI"/>
            <charset val="1"/>
          </rPr>
          <t>All Reviews:_x000D_
6639276:1.8_x000D_
6542335:1.7_x000D_
6517107:1.7_x000D_
6460372:1.7_x000D_
5812496:1.6_x000D_
5750764:1.5_x000D_
5597881:1.4</t>
        </r>
      </text>
    </comment>
    <comment ref="L94" authorId="4" shapeId="0" xr:uid="{8219EFCF-9A41-4D9E-9BF5-F0CCFFF81897}">
      <text>
        <r>
          <rPr>
            <b/>
            <sz val="9"/>
            <color indexed="81"/>
            <rFont val="Segoe UI"/>
            <charset val="1"/>
          </rPr>
          <t>All Reviews:_x000D_
6542413:1.7_x000D_
6517163:1.7_x000D_
6460444:1.7</t>
        </r>
      </text>
    </comment>
    <comment ref="E95" authorId="4" shapeId="0" xr:uid="{C9842796-44B2-4DEB-90A5-852E8269013C}">
      <text>
        <r>
          <rPr>
            <b/>
            <sz val="9"/>
            <color indexed="81"/>
            <rFont val="Segoe UI"/>
            <charset val="1"/>
          </rPr>
          <t>All Reviews:_x000D_
7167465:1.13_x000D_
7097436:1.11_x000D_
6965455:1.10_x000D_
6823807:1.8_x000D_
6542376:1.7_x000D_
6517139:1.7_x000D_
6460426:1.6_x000D_
6222608:1.5_x000D_
6220529:1.5_x000D_
6100086:1.3_x000D_
6100086:1.4_x000D_
5597944:1.3</t>
        </r>
      </text>
    </comment>
    <comment ref="H95" authorId="4" shapeId="0" xr:uid="{DA18D7D8-69D7-435E-86B9-30A5FE9B513D}">
      <text>
        <r>
          <rPr>
            <b/>
            <sz val="9"/>
            <color indexed="81"/>
            <rFont val="Segoe UI"/>
            <charset val="1"/>
          </rPr>
          <t>All Reviews:_x000D_
7167528:1.13_x000D_
7097425:1.11_x000D_
6965444:1.10_x000D_
6823763:1.8_x000D_
6542335:1.7_x000D_
6517107:1.7_x000D_
6460372:1.6_x000D_
6222565:1.5_x000D_
6220510:1.5_x000D_
6100054:1.3_x000D_
6100054:1.4_x000D_
5597881:1.3</t>
        </r>
      </text>
    </comment>
    <comment ref="L95" authorId="4" shapeId="0" xr:uid="{9BE3B493-1C89-4075-97C1-3557650E85FD}">
      <text>
        <r>
          <rPr>
            <b/>
            <sz val="9"/>
            <color indexed="81"/>
            <rFont val="Segoe UI"/>
            <charset val="1"/>
          </rPr>
          <t>All Reviews:_x000D_
6823843:1.8_x000D_
6542413:1.7_x000D_
6517163:1.7_x000D_
6460444:1.6_x000D_
6220552:1.5_x000D_
6100112:1.3_x000D_
6100112:1.4_x000D_
5782725:1.3</t>
        </r>
      </text>
    </comment>
    <comment ref="E96" authorId="4" shapeId="0" xr:uid="{39FC4209-6C79-46CC-AE71-78739AB7A087}">
      <text>
        <r>
          <rPr>
            <b/>
            <sz val="9"/>
            <color indexed="81"/>
            <rFont val="Segoe UI"/>
            <charset val="1"/>
          </rPr>
          <t>All Reviews:_x000D_
7167465:1.8_x000D_
6965455:1.7_x000D_
6639294:1.6_x000D_
6542376:1.5_x000D_
6517139:1.5_x000D_
6460426:1.5_x000D_
5750786:1.4_x000D_
5597944:1.3</t>
        </r>
      </text>
    </comment>
    <comment ref="H96" authorId="4" shapeId="0" xr:uid="{40BB65D6-2975-48B5-852F-3A7DD792F3D6}">
      <text>
        <r>
          <rPr>
            <b/>
            <sz val="9"/>
            <color indexed="81"/>
            <rFont val="Segoe UI"/>
            <charset val="1"/>
          </rPr>
          <t>All Reviews:_x000D_
7167528:1.8_x000D_
6965444:1.7_x000D_
6639276:1.6_x000D_
6542335:1.5_x000D_
6517107:1.5_x000D_
6460372:1.5_x000D_
5750764:1.4_x000D_
5597881:1.3</t>
        </r>
      </text>
    </comment>
    <comment ref="L96" authorId="4" shapeId="0" xr:uid="{792EE26C-BC09-4219-A74C-1BBD1101B24A}">
      <text>
        <r>
          <rPr>
            <b/>
            <sz val="9"/>
            <color indexed="81"/>
            <rFont val="Segoe UI"/>
            <charset val="1"/>
          </rPr>
          <t>All Reviews:_x000D_
6542413:1.5_x000D_
6517163:1.5_x000D_
6460444:1.5</t>
        </r>
      </text>
    </comment>
    <comment ref="E97" authorId="4" shapeId="0" xr:uid="{99BB8464-9C6D-4774-80C2-C5BF6CE7AAC1}">
      <text>
        <r>
          <rPr>
            <b/>
            <sz val="9"/>
            <color indexed="81"/>
            <rFont val="Segoe UI"/>
            <charset val="1"/>
          </rPr>
          <t>All Reviews:_x000D_
7097436:1.28_x000D_
6965455:1.27_x000D_
6883711:1.23.1.1_x000D_
6823807:1.26_x000D_
6542376:1.25_x000D_
6517139:1.23_x000D_
6460426:1.22_x000D_
6256147:1.21_x000D_
6252261:1.21_x000D_
6222608:1.19_x000D_
6220529:1.19_x000D_
6175731:1.18.1.1_x000D_
6100086:1.17_x000D_
6100086:1.18_x000D_
6013212:1.16_x000D_
6013212:1.17_x000D_
5960572:1.16_x000D_
5901377:1.15_x000D_
5782684:1.14_x000D_
5750786:1.13_x000D_
5676799:1.12_x000D_
5624934:1.11_x000D_
5624934:1.10_x000D_
5597944:1.9_x000D_
5597944:1.8_x000D_
5597944:1.7_x000D_
5597944:1.6</t>
        </r>
      </text>
    </comment>
    <comment ref="H97" authorId="4" shapeId="0" xr:uid="{A2B9261F-92DC-4C1A-8B9C-8C18B0304C4F}">
      <text>
        <r>
          <rPr>
            <b/>
            <sz val="9"/>
            <color indexed="81"/>
            <rFont val="Segoe UI"/>
            <charset val="1"/>
          </rPr>
          <t>All Reviews:_x000D_
7097425:1.28_x000D_
6965444:1.27_x000D_
6883680:1.23.1.1_x000D_
6823763:1.26_x000D_
6542335:1.25_x000D_
6517107:1.23_x000D_
6460372:1.22_x000D_
6256106:1.21_x000D_
6252219:1.21_x000D_
6222565:1.19_x000D_
6220510:1.19_x000D_
6175714:1.18.1.1_x000D_
6100054:1.17_x000D_
6100054:1.18_x000D_
6013186:1.16_x000D_
6013186:1.17_x000D_
5960698:1.16_x000D_
5901364:1.15_x000D_
5782710:1.14_x000D_
5750764:1.13_x000D_
5676734:1.12_x000D_
5624917:1.11_x000D_
5624917:1.10_x000D_
5597881:1.9_x000D_
5597881:1.8_x000D_
5597881:1.7_x000D_
5597881:1.6_x000D_
5574505:1.5_x000D_
5435394:1.4</t>
        </r>
      </text>
    </comment>
    <comment ref="L97" authorId="4" shapeId="0" xr:uid="{226B7089-6A07-40DE-A46E-E0E54F1AF4C7}">
      <text>
        <r>
          <rPr>
            <b/>
            <sz val="9"/>
            <color indexed="81"/>
            <rFont val="Segoe UI"/>
            <charset val="1"/>
          </rPr>
          <t>All Reviews:_x000D_
6883741:1.23.1.1_x000D_
6823843:1.26_x000D_
6542413:1.25_x000D_
6517163:1.23_x000D_
6460444:1.22_x000D_
6252299:1.21_x000D_
6256213:1.21_x000D_
6220552:1.19_x000D_
6175759:1.18.1.1_x000D_
6100112:1.17_x000D_
6100112:1.18_x000D_
6013226:1.16_x000D_
6013226:1.17_x000D_
5960900:1.16_x000D_
5782725:1.14</t>
        </r>
      </text>
    </comment>
    <comment ref="E98" authorId="4" shapeId="0" xr:uid="{4F88B1A1-11DE-4788-BC20-238051C804EB}">
      <text>
        <r>
          <rPr>
            <b/>
            <sz val="9"/>
            <color indexed="81"/>
            <rFont val="Segoe UI"/>
            <charset val="1"/>
          </rPr>
          <t>All Reviews:_x000D_
6883711:1.15.1.1_x000D_
6823807:1.19_x000D_
6639294:1.18_x000D_
6542376:1.17_x000D_
6517139:1.15_x000D_
6460426:1.15_x000D_
6013212:1.13_x000D_
6013212:1.14_x000D_
5960572:1.13_x000D_
5901377:1.12_x000D_
5812620:1.11_x000D_
5782684:1.10_x000D_
5750786:1.8_x000D_
5750786:1.7_x000D_
5624934:1.6_x000D_
5597944:1.5_x000D_
5597944:1.4</t>
        </r>
      </text>
    </comment>
    <comment ref="H98" authorId="4" shapeId="0" xr:uid="{34FE3987-A361-4D24-A7AA-9AD83F46FDE3}">
      <text>
        <r>
          <rPr>
            <b/>
            <sz val="9"/>
            <color indexed="81"/>
            <rFont val="Segoe UI"/>
            <charset val="1"/>
          </rPr>
          <t>All Reviews:_x000D_
6883680:1.15.1.1_x000D_
6823763:1.19_x000D_
6639276:1.18_x000D_
6542335:1.17_x000D_
6517107:1.15_x000D_
6460372:1.15_x000D_
6013186:1.13_x000D_
6013186:1.14_x000D_
5960698:1.13_x000D_
5901364:1.12_x000D_
5812496:1.11_x000D_
5782710:1.10_x000D_
5750764:1.8_x000D_
5750764:1.7_x000D_
5624917:1.6_x000D_
5597881:1.4_x000D_
5597881:1.5</t>
        </r>
      </text>
    </comment>
    <comment ref="L98" authorId="4" shapeId="0" xr:uid="{7DB67673-C8C8-466B-AD14-7BE0F18EAB12}">
      <text>
        <r>
          <rPr>
            <b/>
            <sz val="9"/>
            <color indexed="81"/>
            <rFont val="Segoe UI"/>
            <charset val="1"/>
          </rPr>
          <t>All Reviews:_x000D_
6883741:1.15.1.1_x000D_
6823843:1.19_x000D_
6542413:1.17_x000D_
6517163:1.15_x000D_
6460444:1.15_x000D_
6013226:1.13_x000D_
6013226:1.14_x000D_
5960900:1.13</t>
        </r>
      </text>
    </comment>
    <comment ref="E99" authorId="4" shapeId="0" xr:uid="{E919F64C-7FF9-41BC-9C93-992B256BDB09}">
      <text>
        <r>
          <rPr>
            <b/>
            <sz val="9"/>
            <color indexed="81"/>
            <rFont val="Segoe UI"/>
            <charset val="1"/>
          </rPr>
          <t>All Reviews:_x000D_
7097436:1.34_x000D_
7051008:1.24.1.7_x000D_
7036505:1.33_x000D_
7017365:1.24.1.5_x000D_
6965455:1.32_x000D_
6956726:1.24.1.4_x000D_
6864327:1.31_x000D_
6827560:1.24.1.1.1.1_x000D_
6823807:1.30_x000D_
6763122:1.28_x000D_
6707391:1.24.1.2_x000D_
6639294:1.27_x000D_
6572143:1.24.1.1_x000D_
6542376:1.26_x000D_
6512287:1.23_x000D_
6517139:1.25.1.1_x000D_
6493490:1.24_x000D_
6446255:1.21_x000D_
6460426:1.22_x000D_
6419402:1.20_x000D_
6386183:1.19_x000D_
6386427:1.18_x000D_
6365005:1.18_x000D_
6285701:1.17_x000D_
6285442:1.17_x000D_
6256147:1.16_x000D_
6252261:1.16_x000D_
6222608:1.15_x000D_
6220529:1.15_x000D_
6100086:1.11_x000D_
6100086:1.14_x000D_
6013212:1.10_x000D_
6013212:1.11_x000D_
5985824:1.9_x000D_
5985824:1.10_x000D_
5960572:1.9_x000D_
5901377:1.8_x000D_
5873340:1.7_x000D_
5782684:1.6_x000D_
5750786:1.4_x000D_
5750786:1.5_x000D_
5676799:1.2_x000D_
5676799:1.1_x000D_
5676799:1.3</t>
        </r>
      </text>
    </comment>
    <comment ref="H99" authorId="4" shapeId="0" xr:uid="{917F3707-D224-4FC2-92E6-993CAE3E6EAF}">
      <text>
        <r>
          <rPr>
            <b/>
            <sz val="9"/>
            <color indexed="81"/>
            <rFont val="Segoe UI"/>
            <charset val="1"/>
          </rPr>
          <t>All Reviews:_x000D_
7097425:1.34_x000D_
7050994:1.24.1.7_x000D_
7036605:1.33_x000D_
7017389:1.24.1.5_x000D_
6965444:1.32_x000D_
6956709:1.24.1.4_x000D_
6864332:1.31_x000D_
6827545:1.24.1.1.1.1_x000D_
6823763:1.30_x000D_
6763099:1.28_x000D_
6707363:1.24.1.2_x000D_
6639276:1.27_x000D_
6572133:1.24.1.1_x000D_
6542335:1.26_x000D_
6517107:1.25.1.1_x000D_
6512272:1.23_x000D_
6493441:1.24_x000D_
6460372:1.22_x000D_
6446296:1.21_x000D_
6419371:1.20_x000D_
6386350:1.18_x000D_
6386133:1.19_x000D_
6364967:1.18_x000D_
6285684:1.17_x000D_
6285420:1.17_x000D_
6256106:1.16_x000D_
6252219:1.16_x000D_
6222565:1.15_x000D_
6220510:1.15_x000D_
6100054:1.11_x000D_
6100054:1.14_x000D_
6013186:1.10_x000D_
6013186:1.11_x000D_
5985814:1.9_x000D_
5985814:1.10_x000D_
5960698:1.9_x000D_
5901364:1.8_x000D_
5873328:1.7_x000D_
5782710:1.6_x000D_
5750764:1.5_x000D_
5750764:1.4_x000D_
5676734:1.3_x000D_
5676734:1.2_x000D_
5676734:1.1</t>
        </r>
      </text>
    </comment>
    <comment ref="L99" authorId="4" shapeId="0" xr:uid="{E4EA8630-21EB-4BF4-A55D-705D0CE9D013}">
      <text>
        <r>
          <rPr>
            <b/>
            <sz val="9"/>
            <color indexed="81"/>
            <rFont val="Segoe UI"/>
            <charset val="1"/>
          </rPr>
          <t>All Reviews:_x000D_
6956755:1.24.1.4_x000D_
6827888:1.24.1.1.1.1_x000D_
6823843:1.30_x000D_
6763142:1.28_x000D_
6707403:1.24.1.2_x000D_
6572150:1.24.1.1_x000D_
6542413:1.26_x000D_
6512296:1.23_x000D_
6517163:1.25.1.1_x000D_
6493502:1.24_x000D_
6460444:1.22_x000D_
6419433:1.20_x000D_
6386212:1.19_x000D_
6386460:1.18_x000D_
6285497:1.17_x000D_
6285718:1.17_x000D_
6252299:1.16_x000D_
6256213:1.16_x000D_
6220552:1.15_x000D_
6100112:1.11_x000D_
6100112:1.14_x000D_
6013226:1.10_x000D_
6013226:1.11_x000D_
5985841:1.9_x000D_
5985841:1.10_x000D_
5960900:1.9_x000D_
5782725:1.6</t>
        </r>
      </text>
    </comment>
    <comment ref="E100" authorId="4" shapeId="0" xr:uid="{0E072F3A-4AB5-419E-8631-72A01AE33687}">
      <text>
        <r>
          <rPr>
            <b/>
            <sz val="9"/>
            <color indexed="81"/>
            <rFont val="Segoe UI"/>
            <charset val="1"/>
          </rPr>
          <t>All Reviews:_x000D_
7036505:1.11_x000D_
6823807:1.10_x000D_
6639294:1.9_x000D_
6572143:1.8_x000D_
6542376:1.7_x000D_
6517139:1.7_x000D_
6460426:1.7_x000D_
5960572:1.6_x000D_
5750786:1.4_x000D_
5750786:1.5_x000D_
5676799:1.1_x000D_
5676799:1.3_x000D_
5676799:1.2</t>
        </r>
      </text>
    </comment>
    <comment ref="H100" authorId="4" shapeId="0" xr:uid="{946C8B9D-1DCD-4180-BA36-60F14493E78F}">
      <text>
        <r>
          <rPr>
            <b/>
            <sz val="9"/>
            <color indexed="81"/>
            <rFont val="Segoe UI"/>
            <charset val="1"/>
          </rPr>
          <t>All Reviews:_x000D_
7036605:1.11_x000D_
6823763:1.10_x000D_
6639276:1.9_x000D_
6572133:1.8_x000D_
6542335:1.7_x000D_
6517107:1.7_x000D_
6460372:1.7_x000D_
5960698:1.6_x000D_
5750764:1.5_x000D_
5750764:1.4_x000D_
5676734:1.3_x000D_
5676734:1.2_x000D_
5676734:1.1</t>
        </r>
      </text>
    </comment>
    <comment ref="L100" authorId="4" shapeId="0" xr:uid="{94CCC913-964C-4399-A16D-32A33F197390}">
      <text>
        <r>
          <rPr>
            <b/>
            <sz val="9"/>
            <color indexed="81"/>
            <rFont val="Segoe UI"/>
            <charset val="1"/>
          </rPr>
          <t>All Reviews:_x000D_
6823843:1.10_x000D_
6572150:1.8_x000D_
6542413:1.7_x000D_
6517163:1.7_x000D_
6460444:1.7_x000D_
5960900:1.6</t>
        </r>
      </text>
    </comment>
    <comment ref="E101" authorId="4" shapeId="0" xr:uid="{B262C130-3E05-466D-87CC-F74B046AAC02}">
      <text>
        <r>
          <rPr>
            <b/>
            <sz val="9"/>
            <color indexed="81"/>
            <rFont val="Segoe UI"/>
            <charset val="1"/>
          </rPr>
          <t>All Reviews:_x000D_
7167465:1.33_x000D_
7113142:1.22.1.7_x000D_
7097436:1.31_x000D_
7036505:1.30_x000D_
7017365:1.22.1.6_x000D_
6965455:1.29_x000D_
6823807:1.28_x000D_
6572143:1.22.1.5_x000D_
6542376:1.25.1.1_x000D_
6517139:1.26_x000D_
6479884:1.23_x000D_
6493490:1.22.1.4_x000D_
6460426:1.22_x000D_
6365005:1.21_x000D_
6256147:1.20_x000D_
6252261:1.20_x000D_
6222608:1.18_x000D_
6220529:1.18_x000D_
6100086:1.16_x000D_
6100086:1.17_x000D_
6013212:1.15_x000D_
6013212:1.16_x000D_
5985824:1.14_x000D_
5985824:1.15_x000D_
5960572:1.14_x000D_
5901377:1.13_x000D_
5873340:1.12_x000D_
5750786:1.11_x000D_
5699972:1.10_x000D_
5597944:1.9_x000D_
5597944:1.8_x000D_
5597944:1.7</t>
        </r>
      </text>
    </comment>
    <comment ref="H101" authorId="4" shapeId="0" xr:uid="{913ACDE6-EA0F-4737-BCA7-7D597739DD19}">
      <text>
        <r>
          <rPr>
            <b/>
            <sz val="9"/>
            <color indexed="81"/>
            <rFont val="Segoe UI"/>
            <charset val="1"/>
          </rPr>
          <t>All Reviews:_x000D_
7167528:1.33_x000D_
7113127:1.22.1.7_x000D_
7097425:1.31_x000D_
7036605:1.30_x000D_
7017389:1.22.1.6_x000D_
6965444:1.29_x000D_
6823763:1.28_x000D_
6572133:1.22.1.5_x000D_
6542335:1.25.1.1_x000D_
6517107:1.26_x000D_
6479805:1.23_x000D_
6493441:1.22.1.4_x000D_
6460372:1.22_x000D_
6364967:1.21_x000D_
6256106:1.20_x000D_
6252219:1.20_x000D_
6222565:1.18_x000D_
6220510:1.18_x000D_
6100054:1.16_x000D_
6100054:1.17_x000D_
6013186:1.15_x000D_
6013186:1.16_x000D_
5985814:1.14_x000D_
5985814:1.15_x000D_
5960698:1.14_x000D_
5901364:1.13_x000D_
5873328:1.12_x000D_
5750764:1.11_x000D_
5699934:1.10_x000D_
5597881:1.8_x000D_
5597881:1.7_x000D_
5597881:1.9_x000D_
5574505:1.6_x000D_
5574505:1.5</t>
        </r>
      </text>
    </comment>
    <comment ref="L101" authorId="4" shapeId="0" xr:uid="{7BD67F65-5D4D-4062-B27D-0E0F834F89F8}">
      <text>
        <r>
          <rPr>
            <b/>
            <sz val="9"/>
            <color indexed="81"/>
            <rFont val="Segoe UI"/>
            <charset val="1"/>
          </rPr>
          <t>All Reviews:_x000D_
6823843:1.28_x000D_
6572150:1.22.1.5_x000D_
6542413:1.25.1.1_x000D_
6517163:1.26_x000D_
6479937:1.23_x000D_
6493502:1.22.1.4_x000D_
6460444:1.22_x000D_
6252299:1.20_x000D_
6256213:1.20_x000D_
6220552:1.18_x000D_
6100112:1.16_x000D_
6100112:1.17_x000D_
6013226:1.15_x000D_
6013226:1.16_x000D_
5985841:1.14_x000D_
5985841:1.15_x000D_
5960900:1.14_x000D_
5782725:1.11</t>
        </r>
      </text>
    </comment>
    <comment ref="E102" authorId="4" shapeId="0" xr:uid="{5EB4114C-72E4-4E74-8DDE-8197532A16B0}">
      <text>
        <r>
          <rPr>
            <b/>
            <sz val="9"/>
            <color indexed="81"/>
            <rFont val="Segoe UI"/>
            <charset val="1"/>
          </rPr>
          <t>All Reviews:_x000D_
7167465:1.10_x000D_
6823807:1.9_x000D_
6639294:1.8_x000D_
6542376:1.7_x000D_
6517139:1.7_x000D_
6460426:1.7_x000D_
5750786:1.6_x000D_
5699972:1.5_x000D_
5597944:1.4_x000D_
5597944:1.3</t>
        </r>
      </text>
    </comment>
    <comment ref="H102" authorId="4" shapeId="0" xr:uid="{793D68EC-0A5D-4CB9-B295-AEA5246D3CD2}">
      <text>
        <r>
          <rPr>
            <b/>
            <sz val="9"/>
            <color indexed="81"/>
            <rFont val="Segoe UI"/>
            <charset val="1"/>
          </rPr>
          <t>All Reviews:_x000D_
7167528:1.10_x000D_
6823763:1.9_x000D_
6639276:1.8_x000D_
6542335:1.7_x000D_
6517107:1.7_x000D_
6460372:1.7_x000D_
5750764:1.6_x000D_
5699934:1.5_x000D_
5597881:1.3_x000D_
5597881:1.4</t>
        </r>
      </text>
    </comment>
    <comment ref="L102" authorId="4" shapeId="0" xr:uid="{60DF1085-0905-47DF-8567-92D824DCEC6F}">
      <text>
        <r>
          <rPr>
            <b/>
            <sz val="9"/>
            <color indexed="81"/>
            <rFont val="Segoe UI"/>
            <charset val="1"/>
          </rPr>
          <t>All Reviews:_x000D_
6823843:1.9_x000D_
6542413:1.7_x000D_
6517163:1.7_x000D_
6460444:1.7</t>
        </r>
      </text>
    </comment>
    <comment ref="E103" authorId="4" shapeId="0" xr:uid="{83D44116-4D8C-4869-A97E-31E1DD6953F0}">
      <text>
        <r>
          <rPr>
            <b/>
            <sz val="9"/>
            <color indexed="81"/>
            <rFont val="Segoe UI"/>
            <charset val="1"/>
          </rPr>
          <t>All Reviews:_x000D_
7167463:1.22.2.3_x000D_
7167465:1.34_x000D_
6965455:1.30_x000D_
6883711:1.22.2.2_x000D_
6823807:1.29_x000D_
6718691:1.28_x000D_
6669828:1.26_x000D_
6542376:1.25_x000D_
6517139:1.22.2.1_x000D_
6479884:1.22.1.1_x000D_
6460426:1.22_x000D_
6419402:1.21_x000D_
6386183:1.21_x000D_
6256147:1.20_x000D_
6252261:1.20_x000D_
6100086:1.18_x000D_
6100086:1.19_x000D_
6013212:1.16_x000D_
6013212:1.18_x000D_
5985824:1.15_x000D_
5985824:1.16_x000D_
5960572:1.15_x000D_
5901377:1.14_x000D_
5901377:1.13_x000D_
5782684:1.12_x000D_
5699972:1.11_x000D_
5676799:1.9_x000D_
5676799:1.10_x000D_
5597944:1.8_x000D_
5574563:1.7_x000D_
5574563:1.6_x000D_
5574563:1.5_x000D_
5435441:1.4</t>
        </r>
      </text>
    </comment>
    <comment ref="H103" authorId="4" shapeId="0" xr:uid="{D80D4A1D-2BA3-489D-882C-F6CAFCD55FF7}">
      <text>
        <r>
          <rPr>
            <b/>
            <sz val="9"/>
            <color indexed="81"/>
            <rFont val="Segoe UI"/>
            <charset val="1"/>
          </rPr>
          <t>All Reviews:_x000D_
7167528:1.34_x000D_
7167526:1.22.2.3_x000D_
6965444:1.30_x000D_
6883680:1.22.2.2_x000D_
6823763:1.29_x000D_
6718673:1.28_x000D_
6669809:1.26_x000D_
6542335:1.25_x000D_
6517107:1.22.2.1_x000D_
6479805:1.22.1.1_x000D_
6460372:1.22_x000D_
6419371:1.21_x000D_
6386133:1.21_x000D_
6256106:1.20_x000D_
6252219:1.20_x000D_
6100054:1.18_x000D_
6100054:1.19_x000D_
6013186:1.16_x000D_
6013186:1.18_x000D_
5985814:1.15_x000D_
5985814:1.16_x000D_
5960698:1.15_x000D_
5901364:1.14_x000D_
5901364:1.13_x000D_
5782710:1.12_x000D_
5699934:1.11_x000D_
5676734:1.9_x000D_
5676734:1.10_x000D_
5597881:1.8_x000D_
5574505:1.7_x000D_
5574505:1.6_x000D_
5574505:1.5_x000D_
5435394:1.4</t>
        </r>
      </text>
    </comment>
    <comment ref="L103" authorId="4" shapeId="0" xr:uid="{17CA73DB-51A8-4D7F-96CC-1C81515E74C7}">
      <text>
        <r>
          <rPr>
            <b/>
            <sz val="9"/>
            <color indexed="81"/>
            <rFont val="Segoe UI"/>
            <charset val="1"/>
          </rPr>
          <t>All Reviews:_x000D_
6883741:1.22.2.2_x000D_
6823843:1.29_x000D_
6669839:1.26_x000D_
6542413:1.25_x000D_
6517163:1.22.2.1_x000D_
6479937:1.22.1.1_x000D_
6460444:1.22_x000D_
6419433:1.21_x000D_
6386212:1.21_x000D_
6252299:1.20_x000D_
6256213:1.20_x000D_
6100112:1.18_x000D_
6100112:1.19_x000D_
6013226:1.16_x000D_
6013226:1.18_x000D_
5985841:1.15_x000D_
5985841:1.16_x000D_
5960900:1.15</t>
        </r>
      </text>
    </comment>
    <comment ref="E104" authorId="4" shapeId="0" xr:uid="{6023129F-D98F-45A1-8EBA-1F93AB6FDE7C}">
      <text>
        <r>
          <rPr>
            <b/>
            <sz val="9"/>
            <color indexed="81"/>
            <rFont val="Segoe UI"/>
            <charset val="1"/>
          </rPr>
          <t>All Reviews:_x000D_
7097436:1.13_x000D_
6965455:1.12_x000D_
6823807:1.11_x000D_
6542376:1.10_x000D_
6517139:1.10_x000D_
6460426:1.9_x000D_
6256147:1.8_x000D_
6252261:1.8_x000D_
6222608:1.7_x000D_
6220529:1.7_x000D_
5782684:1.6_x000D_
5597944:1.5</t>
        </r>
      </text>
    </comment>
    <comment ref="H104" authorId="4" shapeId="0" xr:uid="{3FCE15C4-C917-45C8-904C-C0ECB81D5D92}">
      <text>
        <r>
          <rPr>
            <b/>
            <sz val="9"/>
            <color indexed="81"/>
            <rFont val="Segoe UI"/>
            <charset val="1"/>
          </rPr>
          <t>All Reviews:_x000D_
7097425:1.13_x000D_
6965444:1.12_x000D_
6823763:1.11_x000D_
6542335:1.10_x000D_
6517107:1.10_x000D_
6460372:1.9_x000D_
6256106:1.8_x000D_
6252219:1.8_x000D_
6222565:1.7_x000D_
6220510:1.7_x000D_
5782710:1.6_x000D_
5597881:1.5_x000D_
5574505:1.4_x000D_
5574505:1.3_x000D_
5574505:1.2</t>
        </r>
      </text>
    </comment>
    <comment ref="L104" authorId="4" shapeId="0" xr:uid="{21F5626E-BFFD-4F9C-8AB7-E00CEA5BDE6D}">
      <text>
        <r>
          <rPr>
            <b/>
            <sz val="9"/>
            <color indexed="81"/>
            <rFont val="Segoe UI"/>
            <charset val="1"/>
          </rPr>
          <t>All Reviews:_x000D_
6823843:1.11_x000D_
6542413:1.10_x000D_
6517163:1.10_x000D_
6460444:1.9_x000D_
6252299:1.8_x000D_
6256213:1.8_x000D_
6220552:1.7_x000D_
5782725:1.6</t>
        </r>
      </text>
    </comment>
    <comment ref="E105" authorId="4" shapeId="0" xr:uid="{258E81DA-B3BF-4373-ACFC-47B5F35461C6}">
      <text>
        <r>
          <rPr>
            <b/>
            <sz val="9"/>
            <color indexed="81"/>
            <rFont val="Segoe UI"/>
            <charset val="1"/>
          </rPr>
          <t>All Reviews:_x000D_
6965455:1.11_x000D_
6823807:1.10_x000D_
6639294:1.9_x000D_
6542376:1.8_x000D_
6517139:1.8_x000D_
6460426:1.6.1.1_x000D_
6220529:1.7_x000D_
5782684:1.6_x000D_
5597944:1.5_x000D_
5574563:1.4_x000D_
5574563:1.3_x000D_
5574563:1.2</t>
        </r>
      </text>
    </comment>
    <comment ref="H105" authorId="4" shapeId="0" xr:uid="{65E77A6D-1E60-464E-876A-935F6286FE7D}">
      <text>
        <r>
          <rPr>
            <b/>
            <sz val="9"/>
            <color indexed="81"/>
            <rFont val="Segoe UI"/>
            <charset val="1"/>
          </rPr>
          <t>All Reviews:_x000D_
6965444:1.11_x000D_
6823763:1.10_x000D_
6639276:1.9_x000D_
6542335:1.8_x000D_
6517107:1.8_x000D_
6460372:1.6.1.1_x000D_
6220510:1.7_x000D_
5782710:1.6_x000D_
5597881:1.5_x000D_
5574505:1.4_x000D_
5574505:1.3_x000D_
5574505:1.2</t>
        </r>
      </text>
    </comment>
    <comment ref="L105" authorId="4" shapeId="0" xr:uid="{4CCEECE8-A701-4764-8CF3-15F88935F467}">
      <text>
        <r>
          <rPr>
            <b/>
            <sz val="9"/>
            <color indexed="81"/>
            <rFont val="Segoe UI"/>
            <charset val="1"/>
          </rPr>
          <t>All Reviews:_x000D_
6823843:1.10_x000D_
6542413:1.8_x000D_
6517163:1.8_x000D_
6460444:1.6.1.1_x000D_
6220552:1.7</t>
        </r>
      </text>
    </comment>
    <comment ref="E106" authorId="4" shapeId="0" xr:uid="{26079236-ECEF-450F-9DF0-D5369F873ABB}">
      <text>
        <r>
          <rPr>
            <b/>
            <sz val="9"/>
            <color indexed="81"/>
            <rFont val="Segoe UI"/>
            <charset val="1"/>
          </rPr>
          <t>All Reviews:_x000D_
6965455:1.17_x000D_
6895936:1.16_x000D_
6864327:1.15_x000D_
6823807:1.14_x000D_
6542376:1.13_x000D_
6517139:1.13.1.1_x000D_
6460426:1.10.1.1_x000D_
6419402:1.12_x000D_
6386427:1.11_x000D_
6256147:1.10_x000D_
6252261:1.10_x000D_
6220529:1.8_x000D_
6100086:1.5_x000D_
6100086:1.6_x000D_
5699972:1.5_x000D_
5597944:1.4</t>
        </r>
      </text>
    </comment>
    <comment ref="H106" authorId="4" shapeId="0" xr:uid="{A85F4EC3-7C8F-4652-AAE5-B669EBD0F257}">
      <text>
        <r>
          <rPr>
            <b/>
            <sz val="9"/>
            <color indexed="81"/>
            <rFont val="Segoe UI"/>
            <charset val="1"/>
          </rPr>
          <t>All Reviews:_x000D_
6965444:1.17_x000D_
6895945:1.16_x000D_
6864332:1.15_x000D_
6823763:1.14_x000D_
6542335:1.13_x000D_
6517107:1.13.1.1_x000D_
6460372:1.10.1.1_x000D_
6419371:1.12_x000D_
6386350:1.11_x000D_
6256106:1.10_x000D_
6252219:1.10_x000D_
6220510:1.8_x000D_
6100054:1.5_x000D_
6100054:1.6_x000D_
5699934:1.5_x000D_
5597881:1.4_x000D_
5574505:1.3</t>
        </r>
      </text>
    </comment>
    <comment ref="L106" authorId="4" shapeId="0" xr:uid="{3B245660-BCD9-4E37-826C-A1FAF01D4C5D}">
      <text>
        <r>
          <rPr>
            <b/>
            <sz val="9"/>
            <color indexed="81"/>
            <rFont val="Segoe UI"/>
            <charset val="1"/>
          </rPr>
          <t>All Reviews:_x000D_
6823843:1.14_x000D_
6542413:1.13_x000D_
6517163:1.13.1.1_x000D_
6460444:1.10.1.1_x000D_
6419433:1.12_x000D_
6386460:1.11_x000D_
6252299:1.10_x000D_
6256213:1.10_x000D_
6220552:1.8_x000D_
6100112:1.5_x000D_
6100112:1.6</t>
        </r>
      </text>
    </comment>
    <comment ref="E107" authorId="4" shapeId="0" xr:uid="{9568D41D-8849-4C4D-83ED-BACFFCD84C9F}">
      <text>
        <r>
          <rPr>
            <b/>
            <sz val="9"/>
            <color indexed="81"/>
            <rFont val="Segoe UI"/>
            <charset val="1"/>
          </rPr>
          <t>All Reviews:_x000D_
6965455:1.12_x000D_
6823807:1.11_x000D_
6542376:1.10_x000D_
6517139:1.10_x000D_
6460426:1.9_x000D_
6256147:1.8_x000D_
6252261:1.8_x000D_
6220529:1.7_x000D_
6222608:1.4.1.1_x000D_
5782684:1.4_x000D_
5597944:1.3</t>
        </r>
      </text>
    </comment>
    <comment ref="H107" authorId="4" shapeId="0" xr:uid="{08202426-2959-4222-90F0-4F8A2CFAD764}">
      <text>
        <r>
          <rPr>
            <b/>
            <sz val="9"/>
            <color indexed="81"/>
            <rFont val="Segoe UI"/>
            <charset val="1"/>
          </rPr>
          <t>All Reviews:_x000D_
6965444:1.12_x000D_
6823763:1.11_x000D_
6542335:1.10_x000D_
6517107:1.10_x000D_
6460372:1.9_x000D_
6256106:1.8_x000D_
6252219:1.8_x000D_
6222565:1.4.1.1_x000D_
6220510:1.7_x000D_
5782710:1.4_x000D_
5597881:1.3</t>
        </r>
      </text>
    </comment>
    <comment ref="L107" authorId="4" shapeId="0" xr:uid="{FE780BD5-5976-4953-A971-2F52B2B23F87}">
      <text>
        <r>
          <rPr>
            <b/>
            <sz val="9"/>
            <color indexed="81"/>
            <rFont val="Segoe UI"/>
            <charset val="1"/>
          </rPr>
          <t>All Reviews:_x000D_
6823843:1.11_x000D_
6542413:1.10_x000D_
6517163:1.10_x000D_
6460444:1.9_x000D_
6252299:1.8_x000D_
6256213:1.8_x000D_
6220552:1.7_x000D_
5782725:1.4</t>
        </r>
      </text>
    </comment>
    <comment ref="E108" authorId="4" shapeId="0" xr:uid="{CF25D63C-8D3D-40F2-8B5A-8F097D881129}">
      <text>
        <r>
          <rPr>
            <b/>
            <sz val="9"/>
            <color indexed="81"/>
            <rFont val="Segoe UI"/>
            <charset val="1"/>
          </rPr>
          <t>All Reviews:_x000D_
6965455:1.20_x000D_
6864327:1.19_x000D_
6823807:1.18_x000D_
6542376:1.17_x000D_
6517139:1.17_x000D_
6493490:1.15.1.2_x000D_
6460426:1.15.1.1_x000D_
6386427:1.16_x000D_
6256147:1.15_x000D_
6252261:1.15_x000D_
6220529:1.13_x000D_
5985824:1.12_x000D_
5901377:1.11_x000D_
5750786:1.10_x000D_
5750786:1.9_x000D_
5676799:1.7_x000D_
5676799:1.8_x000D_
5597944:1.6_x000D_
5574563:1.5_x000D_
5574563:1.4</t>
        </r>
      </text>
    </comment>
    <comment ref="H108" authorId="4" shapeId="0" xr:uid="{CC4C8EB8-5A30-44AB-9180-A081F8093BFB}">
      <text>
        <r>
          <rPr>
            <b/>
            <sz val="9"/>
            <color indexed="81"/>
            <rFont val="Segoe UI"/>
            <charset val="1"/>
          </rPr>
          <t>All Reviews:_x000D_
6965444:1.20_x000D_
6864332:1.19_x000D_
6823763:1.18_x000D_
6542335:1.17_x000D_
6517107:1.17_x000D_
6493441:1.15.1.2_x000D_
6460372:1.15.1.1_x000D_
6386350:1.16_x000D_
6256106:1.15_x000D_
6252219:1.15_x000D_
6220510:1.13_x000D_
5985814:1.12_x000D_
5901364:1.11_x000D_
5750764:1.10_x000D_
5750764:1.9_x000D_
5676734:1.7_x000D_
5676734:1.8_x000D_
5597881:1.6_x000D_
5574505:1.5_x000D_
5574505:1.4</t>
        </r>
      </text>
    </comment>
    <comment ref="L108" authorId="4" shapeId="0" xr:uid="{166556F5-55F6-4CAA-8CF5-99EB4FF7269A}">
      <text>
        <r>
          <rPr>
            <b/>
            <sz val="9"/>
            <color indexed="81"/>
            <rFont val="Segoe UI"/>
            <charset val="1"/>
          </rPr>
          <t>All Reviews:_x000D_
6823843:1.18_x000D_
6542413:1.17_x000D_
6517163:1.17_x000D_
6493502:1.15.1.2_x000D_
6460444:1.15.1.1_x000D_
6386460:1.16_x000D_
6252299:1.15_x000D_
6256213:1.15_x000D_
6220552:1.13</t>
        </r>
      </text>
    </comment>
    <comment ref="E109" authorId="4" shapeId="0" xr:uid="{52012634-EEF9-49F0-B75F-E0FFA8CC4ABB}">
      <text>
        <r>
          <rPr>
            <b/>
            <sz val="9"/>
            <color indexed="81"/>
            <rFont val="Segoe UI"/>
            <charset val="1"/>
          </rPr>
          <t>All Reviews:_x000D_
6965455:1.9_x000D_
6823807:1.8_x000D_
6542376:1.7_x000D_
6517139:1.7_x000D_
6460426:1.5.1.1_x000D_
6386427:1.6_x000D_
5873340:1.5_x000D_
5750786:1.4_x000D_
5597944:1.3</t>
        </r>
      </text>
    </comment>
    <comment ref="H109" authorId="4" shapeId="0" xr:uid="{44AB22E4-CBA7-464F-86EB-6532178497E2}">
      <text>
        <r>
          <rPr>
            <b/>
            <sz val="9"/>
            <color indexed="81"/>
            <rFont val="Segoe UI"/>
            <charset val="1"/>
          </rPr>
          <t>All Reviews:_x000D_
6965444:1.9_x000D_
6823763:1.8_x000D_
6542335:1.7_x000D_
6517107:1.7_x000D_
6460372:1.5.1.1_x000D_
6386350:1.6_x000D_
5873328:1.5_x000D_
5750764:1.4_x000D_
5597881:1.3</t>
        </r>
      </text>
    </comment>
    <comment ref="L109" authorId="4" shapeId="0" xr:uid="{271C39FD-E017-4B14-8276-64997A04B268}">
      <text>
        <r>
          <rPr>
            <b/>
            <sz val="9"/>
            <color indexed="81"/>
            <rFont val="Segoe UI"/>
            <charset val="1"/>
          </rPr>
          <t>All Reviews:_x000D_
6823843:1.8_x000D_
6542413:1.7_x000D_
6517163:1.7_x000D_
6460444:1.5.1.1_x000D_
6386460:1.6</t>
        </r>
      </text>
    </comment>
    <comment ref="E110" authorId="4" shapeId="0" xr:uid="{50531BE8-A5F2-4740-B9C6-30E8B9E968DD}">
      <text>
        <r>
          <rPr>
            <b/>
            <sz val="9"/>
            <color indexed="81"/>
            <rFont val="Segoe UI"/>
            <charset val="1"/>
          </rPr>
          <t>All Reviews:_x000D_
6542376:1.7_x000D_
6517139:1.7_x000D_
6386427:1.6_x000D_
5750786:1.4_x000D_
5597944:1.2_x000D_
5597944:1.1_x000D_
5597944:1.3</t>
        </r>
      </text>
    </comment>
    <comment ref="H110" authorId="4" shapeId="0" xr:uid="{905D41FF-1E1E-4FD5-AF9B-59A466BF48C7}">
      <text>
        <r>
          <rPr>
            <b/>
            <sz val="9"/>
            <color indexed="81"/>
            <rFont val="Segoe UI"/>
            <charset val="1"/>
          </rPr>
          <t>All Reviews:_x000D_
6542335:1.7_x000D_
6517107:1.7_x000D_
6386350:1.6_x000D_
5750764:1.4_x000D_
5597881:1.2_x000D_
5597881:1.1_x000D_
5597881:1.3</t>
        </r>
      </text>
    </comment>
    <comment ref="L110" authorId="4" shapeId="0" xr:uid="{EA11AFA1-7DEB-4351-866D-ACC85E4F485B}">
      <text>
        <r>
          <rPr>
            <b/>
            <sz val="9"/>
            <color indexed="81"/>
            <rFont val="Segoe UI"/>
            <charset val="1"/>
          </rPr>
          <t>All Reviews:_x000D_
6542413:1.7_x000D_
6517163:1.7_x000D_
6386460:1.6</t>
        </r>
      </text>
    </comment>
    <comment ref="E111" authorId="4" shapeId="0" xr:uid="{FBD1C547-B96F-4297-8338-2B11F9FBF228}">
      <text>
        <r>
          <rPr>
            <b/>
            <sz val="9"/>
            <color indexed="81"/>
            <rFont val="Segoe UI"/>
            <charset val="1"/>
          </rPr>
          <t>All Reviews:_x000D_
6965455:1.7_x000D_
6542376:1.6_x000D_
6517139:1.6_x000D_
6460426:1.6_x000D_
5750786:1.4_x000D_
5750786:1.5_x000D_
5597944:1.3</t>
        </r>
      </text>
    </comment>
    <comment ref="H111" authorId="4" shapeId="0" xr:uid="{07F83A50-4A5F-4A14-87CB-76B068F33282}">
      <text>
        <r>
          <rPr>
            <b/>
            <sz val="9"/>
            <color indexed="81"/>
            <rFont val="Segoe UI"/>
            <charset val="1"/>
          </rPr>
          <t>All Reviews:_x000D_
6965444:1.7_x000D_
6542335:1.6_x000D_
6517107:1.6_x000D_
6460372:1.6_x000D_
5750764:1.4_x000D_
5750764:1.5_x000D_
5597881:1.3</t>
        </r>
      </text>
    </comment>
    <comment ref="L111" authorId="4" shapeId="0" xr:uid="{60E4A323-AB91-44D4-8F0B-47F39DF9873A}">
      <text>
        <r>
          <rPr>
            <b/>
            <sz val="9"/>
            <color indexed="81"/>
            <rFont val="Segoe UI"/>
            <charset val="1"/>
          </rPr>
          <t>All Reviews:_x000D_
6542413:1.6_x000D_
6517163:1.6_x000D_
6460444:1.6</t>
        </r>
      </text>
    </comment>
    <comment ref="E112" authorId="4" shapeId="0" xr:uid="{64AEF334-CEDB-4C19-BFAF-DFED21D9E0AF}">
      <text>
        <r>
          <rPr>
            <b/>
            <sz val="9"/>
            <color indexed="81"/>
            <rFont val="Segoe UI"/>
            <charset val="1"/>
          </rPr>
          <t>All Reviews:_x000D_
6823807:1.11_x000D_
6639294:1.10_x000D_
6220529:1.9_x000D_
5901377:1.8_x000D_
5750786:1.7_x000D_
5750786:1.6_x000D_
5597944:1.4_x000D_
5597944:1.5</t>
        </r>
      </text>
    </comment>
    <comment ref="H112" authorId="4" shapeId="0" xr:uid="{C82FB72D-81D4-4241-9B89-7EC56FBE301F}">
      <text>
        <r>
          <rPr>
            <b/>
            <sz val="9"/>
            <color indexed="81"/>
            <rFont val="Segoe UI"/>
            <charset val="1"/>
          </rPr>
          <t>All Reviews:_x000D_
6823763:1.11_x000D_
6639276:1.10_x000D_
6220510:1.9_x000D_
5901364:1.8_x000D_
5750764:1.7_x000D_
5750764:1.6_x000D_
5597881:1.4_x000D_
5597881:1.5</t>
        </r>
      </text>
    </comment>
    <comment ref="L112" authorId="4" shapeId="0" xr:uid="{2BA294CB-2AD3-4A56-893C-75DE243D2D02}">
      <text>
        <r>
          <rPr>
            <b/>
            <sz val="9"/>
            <color indexed="81"/>
            <rFont val="Segoe UI"/>
            <charset val="1"/>
          </rPr>
          <t>All Reviews:_x000D_
6823843:1.11_x000D_
6220552:1.9</t>
        </r>
      </text>
    </comment>
    <comment ref="E113" authorId="4" shapeId="0" xr:uid="{E6CC0B02-A201-41B0-A9ED-618CFB3D90AB}">
      <text>
        <r>
          <rPr>
            <b/>
            <sz val="9"/>
            <color indexed="81"/>
            <rFont val="Segoe UI"/>
            <charset val="1"/>
          </rPr>
          <t>All Reviews:_x000D_
6965455:1.12_x000D_
6823807:1.11_x000D_
6542376:1.10_x000D_
6517139:1.10_x000D_
6460426:1.9_x000D_
6256147:1.8_x000D_
6252261:1.8_x000D_
6222608:1.7_x000D_
6220529:1.7_x000D_
6100086:1.5_x000D_
6100086:1.6_x000D_
5750786:1.4_x000D_
5750786:1.5_x000D_
5597944:1.3</t>
        </r>
      </text>
    </comment>
    <comment ref="H113" authorId="4" shapeId="0" xr:uid="{B5027635-14AB-4E3E-B0B2-E965CBE2BA11}">
      <text>
        <r>
          <rPr>
            <b/>
            <sz val="9"/>
            <color indexed="81"/>
            <rFont val="Segoe UI"/>
            <charset val="1"/>
          </rPr>
          <t>All Reviews:_x000D_
6965444:1.12_x000D_
6823763:1.11_x000D_
6542335:1.10_x000D_
6517107:1.10_x000D_
6460372:1.9_x000D_
6256106:1.8_x000D_
6252219:1.8_x000D_
6222565:1.7_x000D_
6220510:1.7_x000D_
6100054:1.5_x000D_
6100054:1.6_x000D_
5750764:1.4_x000D_
5750764:1.5_x000D_
5597881:1.3</t>
        </r>
      </text>
    </comment>
    <comment ref="L113" authorId="4" shapeId="0" xr:uid="{B248B65C-6646-4036-9106-2F09FDD75601}">
      <text>
        <r>
          <rPr>
            <b/>
            <sz val="9"/>
            <color indexed="81"/>
            <rFont val="Segoe UI"/>
            <charset val="1"/>
          </rPr>
          <t>All Reviews:_x000D_
6823843:1.11_x000D_
6542413:1.10_x000D_
6517163:1.10_x000D_
6460444:1.9_x000D_
6252299:1.8_x000D_
6256213:1.8_x000D_
6220552:1.7_x000D_
6100112:1.5_x000D_
6100112:1.6_x000D_
5782725:1.5</t>
        </r>
      </text>
    </comment>
    <comment ref="E114" authorId="4" shapeId="0" xr:uid="{9F232145-AAB6-45E1-BE76-C56608442260}">
      <text>
        <r>
          <rPr>
            <b/>
            <sz val="9"/>
            <color indexed="81"/>
            <rFont val="Segoe UI"/>
            <charset val="1"/>
          </rPr>
          <t>All Reviews:_x000D_
6965455:1.11_x000D_
6823807:1.10_x000D_
6639294:1.9_x000D_
6542376:1.8_x000D_
6517139:1.8_x000D_
6493490:1.8_x000D_
6460426:1.7_x000D_
5901377:1.6_x000D_
5750786:1.5_x000D_
5750786:1.4_x000D_
5597944:1.3</t>
        </r>
      </text>
    </comment>
    <comment ref="H114" authorId="4" shapeId="0" xr:uid="{34210665-C430-4ACE-B131-AEC26F76532B}">
      <text>
        <r>
          <rPr>
            <b/>
            <sz val="9"/>
            <color indexed="81"/>
            <rFont val="Segoe UI"/>
            <charset val="1"/>
          </rPr>
          <t>All Reviews:_x000D_
6965444:1.11_x000D_
6823763:1.10_x000D_
6639276:1.9_x000D_
6542335:1.8_x000D_
6517107:1.8_x000D_
6493441:1.8_x000D_
6460372:1.7_x000D_
5901364:1.6_x000D_
5750764:1.4_x000D_
5750764:1.5_x000D_
5597881:1.3</t>
        </r>
      </text>
    </comment>
    <comment ref="L114" authorId="4" shapeId="0" xr:uid="{181111BF-B855-471F-B6F6-0F02BC2361D3}">
      <text>
        <r>
          <rPr>
            <b/>
            <sz val="9"/>
            <color indexed="81"/>
            <rFont val="Segoe UI"/>
            <charset val="1"/>
          </rPr>
          <t>All Reviews:_x000D_
6823843:1.10_x000D_
6542413:1.8_x000D_
6517163:1.8_x000D_
6493502:1.8_x000D_
6460444:1.7</t>
        </r>
      </text>
    </comment>
    <comment ref="E115" authorId="4" shapeId="0" xr:uid="{E07C80C4-E5F4-42D5-BF95-7E56F593E4D3}">
      <text>
        <r>
          <rPr>
            <b/>
            <sz val="9"/>
            <color indexed="81"/>
            <rFont val="Segoe UI"/>
            <charset val="1"/>
          </rPr>
          <t>All Reviews:_x000D_
7167463:1.41.1.5_x000D_
7167465:1.62_x000D_
7133764:1.61_x000D_
7113142:1.26.1.16.1.5_x000D_
7110593:1.41.1.4_x000D_
7096947:1.41.1.3_x000D_
7097436:1.60_x000D_
7064606:1.59_x000D_
7051008:1.26.1.16.1.4_x000D_
7036505:1.58_x000D_
7017365:1.26.1.16.1.3_x000D_
7002526:1.57_x000D_
6965455:1.56_x000D_
6956726:1.26.1.16.1.2_x000D_
6932116:1.55_x000D_
6895936:1.53_x000D_
6883711:1.41.1.2_x000D_
6864327:1.52_x000D_
6827560:1.26.1.17_x000D_
6823807:1.50_x000D_
6791725:1.49_x000D_
6763122:1.48_x000D_
6718691:1.47_x000D_
6707391:1.26.1.16_x000D_
6669828:1.46_x000D_
6639294:1.45_x000D_
6608217:1.44_x000D_
6608272:1.44_x000D_
6572143:1.26.1.15_x000D_
6542376:1.42_x000D_
6512287:1.40_x000D_
6517139:1.41.1.1_x000D_
6479884:1.39_x000D_
6493490:1.26.1.14_x000D_
6446255:1.38_x000D_
6460426:1.26.1.13_x000D_
6419402:1.37_x000D_
6386427:1.36_x000D_
6386183:1.26.1.11_x000D_
6365005:1.26.1.10_x000D_
6349402:1.35_x000D_
6319276:1.34_x000D_
6285701:1.26.1.8_x000D_
6285442:1.33_x000D_
6256147:1.26.1.7_x000D_
6252261:1.32_x000D_
6222608:1.26.1.5_x000D_
6220529:1.30_x000D_
6202562:1.26.1.4_x000D_
6199248:1.29_x000D_
6175731:1.26.1.3_x000D_
6163839:1.28_x000D_
6154983:1.26.1.2_x000D_
6133076:1.26_x000D_
6133076:1.27_x000D_
6100086:1.25_x000D_
6100086:1.26_x000D_
6068744:1.25_x000D_
6041848:1.23_x000D_
6041848:1.24_x000D_
6013212:1.22_x000D_
6013212:1.23_x000D_
5985824:1.22_x000D_
5960572:1.21_x000D_
5928031:1.20_x000D_
5901377:1.19_x000D_
5873340:1.18_x000D_
5812620:1.16_x000D_
5750786:1.15_x000D_
5699972:1.14_x000D_
5676799:1.13_x000D_
5624934:1.11_x000D_
5597944:1.9_x000D_
5597944:1.10_x000D_
5435441:1.5</t>
        </r>
      </text>
    </comment>
    <comment ref="H115" authorId="4" shapeId="0" xr:uid="{C7130A0F-7619-4DD0-9F86-3CC605462658}">
      <text>
        <r>
          <rPr>
            <b/>
            <sz val="9"/>
            <color indexed="81"/>
            <rFont val="Segoe UI"/>
            <charset val="1"/>
          </rPr>
          <t>All Reviews:_x000D_
7167528:1.62_x000D_
7167526:1.41.1.5_x000D_
7133738:1.61_x000D_
7113127:1.26.1.16.1.5_x000D_
7097425:1.60_x000D_
7110584:1.41.1.4_x000D_
7096914:1.41.1.3_x000D_
7064602:1.59_x000D_
7050994:1.26.1.16.1.4_x000D_
7036605:1.58_x000D_
7017389:1.26.1.16.1.3_x000D_
7002513:1.57_x000D_
6965444:1.56_x000D_
6956709:1.26.1.16.1.2_x000D_
6932079:1.55_x000D_
6895945:1.53_x000D_
6883680:1.41.1.2_x000D_
6864332:1.52_x000D_
6827545:1.26.1.17_x000D_
6823763:1.50_x000D_
6791679:1.49_x000D_
6763099:1.48_x000D_
6718673:1.47_x000D_
6707363:1.26.1.16_x000D_
6669809:1.46_x000D_
6639276:1.45_x000D_
6608238:1.44_x000D_
6572133:1.26.1.15_x000D_
6542335:1.42_x000D_
6517107:1.41.1.1_x000D_
6512272:1.40_x000D_
6479805:1.39_x000D_
6493441:1.26.1.14_x000D_
6460372:1.26.1.13_x000D_
6446296:1.38_x000D_
6419371:1.37_x000D_
6386350:1.36_x000D_
6386133:1.26.1.11_x000D_
6364967:1.26.1.10_x000D_
6349391:1.35_x000D_
6319208:1.34_x000D_
6285684:1.26.1.8_x000D_
6285420:1.33_x000D_
6256106:1.26.1.7_x000D_
6252219:1.32_x000D_
6222565:1.26.1.5_x000D_
6220510:1.30_x000D_
6202551:1.26.1.4_x000D_
6199298:1.29_x000D_
6175714:1.26.1.3_x000D_
6163821:1.28_x000D_
6154950:1.26.1.2_x000D_
6133042:1.26_x000D_
6133042:1.27_x000D_
6100054:1.25_x000D_
6100054:1.26_x000D_
6068862:1.25_x000D_
6041805:1.23_x000D_
6041805:1.24_x000D_
6013186:1.22_x000D_
6013186:1.23_x000D_
5985814:1.22_x000D_
5960698:1.21_x000D_
5928016:1.20_x000D_
5901364:1.19_x000D_
5873328:1.18_x000D_
5812496:1.16_x000D_
5750764:1.15_x000D_
5699934:1.14_x000D_
5676734:1.13_x000D_
5624917:1.11_x000D_
5597881:1.9_x000D_
5597881:1.10_x000D_
5574505:1.8_x000D_
5518773:1.6_x000D_
5435394:1.5</t>
        </r>
      </text>
    </comment>
    <comment ref="L115" authorId="4" shapeId="0" xr:uid="{E27A1975-89BE-4A08-B636-7139B37A11DC}">
      <text>
        <r>
          <rPr>
            <b/>
            <sz val="9"/>
            <color indexed="81"/>
            <rFont val="Segoe UI"/>
            <charset val="1"/>
          </rPr>
          <t>All Reviews:_x000D_
6956755:1.26.1.16.1.2_x000D_
6883741:1.41.1.2_x000D_
6827888:1.26.1.17_x000D_
6823843:1.50_x000D_
6763142:1.48_x000D_
6707403:1.26.1.16_x000D_
6669839:1.46_x000D_
6572150:1.26.1.15_x000D_
6542413:1.42_x000D_
6512296:1.40_x000D_
6517163:1.41.1.1_x000D_
6479937:1.39_x000D_
6493502:1.26.1.14_x000D_
6460444:1.26.1.13_x000D_
6419433:1.37_x000D_
6386212:1.26.1.11_x000D_
6386460:1.36_x000D_
6349413:1.35_x000D_
6285497:1.33_x000D_
6285718:1.26.1.8_x000D_
6252299:1.32_x000D_
6256213:1.26.1.7_x000D_
6220552:1.30_x000D_
6175759:1.26.1.3_x000D_
6133092:1.26_x000D_
6133092:1.27_x000D_
6100112:1.25_x000D_
6100112:1.26_x000D_
6041859:1.23_x000D_
6041859:1.24_x000D_
6013226:1.22_x000D_
6013226:1.23_x000D_
5960900:1.21</t>
        </r>
      </text>
    </comment>
    <comment ref="E116" authorId="4" shapeId="0" xr:uid="{CEA57D27-AED2-4235-A175-97875590F5A1}">
      <text>
        <r>
          <rPr>
            <b/>
            <sz val="9"/>
            <color indexed="81"/>
            <rFont val="Segoe UI"/>
            <charset val="1"/>
          </rPr>
          <t>All Reviews:_x000D_
7097436:1.13_x000D_
6965455:1.12_x000D_
6823807:1.11_x000D_
6639294:1.10_x000D_
6542376:1.9_x000D_
6517139:1.9_x000D_
6460426:1.9_x000D_
6256147:1.8_x000D_
6252261:1.8_x000D_
5901377:1.7_x000D_
5782684:1.6_x000D_
5676799:1.5_x000D_
5597944:1.4_x000D_
5574563:1.3</t>
        </r>
      </text>
    </comment>
    <comment ref="H116" authorId="4" shapeId="0" xr:uid="{07FD4D5E-EC67-4F17-B5D1-7C2BA46B26BC}">
      <text>
        <r>
          <rPr>
            <b/>
            <sz val="9"/>
            <color indexed="81"/>
            <rFont val="Segoe UI"/>
            <charset val="1"/>
          </rPr>
          <t>All Reviews:_x000D_
7097425:1.13_x000D_
6965444:1.12_x000D_
6823763:1.11_x000D_
6639276:1.10_x000D_
6542335:1.9_x000D_
6517107:1.9_x000D_
6460372:1.9_x000D_
6256106:1.8_x000D_
6252219:1.8_x000D_
5901364:1.7_x000D_
5782710:1.6_x000D_
5676734:1.5_x000D_
5597881:1.4_x000D_
5574505:1.3</t>
        </r>
      </text>
    </comment>
    <comment ref="L116" authorId="4" shapeId="0" xr:uid="{8767DE66-258B-4A46-B11E-226D52D85758}">
      <text>
        <r>
          <rPr>
            <b/>
            <sz val="9"/>
            <color indexed="81"/>
            <rFont val="Segoe UI"/>
            <charset val="1"/>
          </rPr>
          <t>All Reviews:_x000D_
6823843:1.11_x000D_
6542413:1.9_x000D_
6517163:1.9_x000D_
6460444:1.9_x000D_
6252299:1.8_x000D_
6256213:1.8</t>
        </r>
      </text>
    </comment>
    <comment ref="E117" authorId="4" shapeId="0" xr:uid="{334B58C4-6BD7-4372-B62B-5CF34B6E466C}">
      <text>
        <r>
          <rPr>
            <b/>
            <sz val="9"/>
            <color indexed="81"/>
            <rFont val="Segoe UI"/>
            <charset val="1"/>
          </rPr>
          <t>All Reviews:_x000D_
6013212:1.4_x000D_
6013212:1.3</t>
        </r>
      </text>
    </comment>
    <comment ref="H117" authorId="4" shapeId="0" xr:uid="{7F325C48-4460-4FC8-954C-626B484508A6}">
      <text>
        <r>
          <rPr>
            <b/>
            <sz val="9"/>
            <color indexed="81"/>
            <rFont val="Segoe UI"/>
            <charset val="1"/>
          </rPr>
          <t>All Reviews:_x000D_
6013186:1.3_x000D_
6013186:1.4</t>
        </r>
      </text>
    </comment>
    <comment ref="L117" authorId="4" shapeId="0" xr:uid="{1BDD57CB-6C35-4069-A3E9-BE0DE123B124}">
      <text>
        <r>
          <rPr>
            <b/>
            <sz val="9"/>
            <color indexed="81"/>
            <rFont val="Segoe UI"/>
            <charset val="1"/>
          </rPr>
          <t>All Reviews:_x000D_
6013226:1.3_x000D_
6013226:1.4_x000D_
5782725:1.3_x000D_
5574593:1.2_x000D_
5574593:1.1</t>
        </r>
      </text>
    </comment>
    <comment ref="E118" authorId="4" shapeId="0" xr:uid="{D8FE5FDA-B74A-4D68-B1A3-2A86CCD2AC0E}">
      <text>
        <r>
          <rPr>
            <b/>
            <sz val="9"/>
            <color indexed="81"/>
            <rFont val="Segoe UI"/>
            <charset val="1"/>
          </rPr>
          <t>All Reviews:_x000D_
6256147:1.5_x000D_
6252261:1.5_x000D_
6220529:1.4_x000D_
6013212:1.2_x000D_
6013212:1.3</t>
        </r>
      </text>
    </comment>
    <comment ref="H118" authorId="4" shapeId="0" xr:uid="{F64A9D55-2A27-483D-9206-8E724CD56DA4}">
      <text>
        <r>
          <rPr>
            <b/>
            <sz val="9"/>
            <color indexed="81"/>
            <rFont val="Segoe UI"/>
            <charset val="1"/>
          </rPr>
          <t>All Reviews:_x000D_
6256106:1.5_x000D_
6252219:1.5_x000D_
6220510:1.4_x000D_
6013186:1.2_x000D_
6013186:1.3</t>
        </r>
      </text>
    </comment>
    <comment ref="L118" authorId="4" shapeId="0" xr:uid="{84341FB3-456D-420F-9C2E-9D4E5A21C86D}">
      <text>
        <r>
          <rPr>
            <b/>
            <sz val="9"/>
            <color indexed="81"/>
            <rFont val="Segoe UI"/>
            <charset val="1"/>
          </rPr>
          <t>All Reviews:_x000D_
6252299:1.5_x000D_
6256213:1.5_x000D_
6220552:1.4_x000D_
6013226:1.2_x000D_
6013226:1.3_x000D_
5782725:1.2_x000D_
5546497:1.1</t>
        </r>
      </text>
    </comment>
    <comment ref="E119" authorId="4" shapeId="0" xr:uid="{5F6B5674-5DD3-4A69-9258-1A7CDFD00BFF}">
      <text>
        <r>
          <rPr>
            <b/>
            <sz val="9"/>
            <color indexed="81"/>
            <rFont val="Segoe UI"/>
            <charset val="1"/>
          </rPr>
          <t>All Reviews:_x000D_
6827560:1.5_x000D_
6542376:1.5_x000D_
6517139:1.5_x000D_
6100086:1.3_x000D_
6100086:1.4_x000D_
6013212:1.2_x000D_
6013212:1.3</t>
        </r>
      </text>
    </comment>
    <comment ref="H119" authorId="4" shapeId="0" xr:uid="{B088CA5A-FB63-42E7-B459-3B2421F20DA4}">
      <text>
        <r>
          <rPr>
            <b/>
            <sz val="9"/>
            <color indexed="81"/>
            <rFont val="Segoe UI"/>
            <charset val="1"/>
          </rPr>
          <t>All Reviews:_x000D_
6827545:1.5_x000D_
6542335:1.5_x000D_
6517107:1.5_x000D_
6100054:1.3_x000D_
6100054:1.4_x000D_
6013186:1.2_x000D_
6013186:1.3</t>
        </r>
      </text>
    </comment>
    <comment ref="L119" authorId="4" shapeId="0" xr:uid="{B615BF1B-E346-43FA-916B-6A4EE9707250}">
      <text>
        <r>
          <rPr>
            <b/>
            <sz val="9"/>
            <color indexed="81"/>
            <rFont val="Segoe UI"/>
            <charset val="1"/>
          </rPr>
          <t>All Reviews:_x000D_
6827888:1.5_x000D_
6542413:1.5_x000D_
6517163:1.5_x000D_
6100112:1.3_x000D_
6100112:1.4_x000D_
6013226:1.2_x000D_
6013226:1.3_x000D_
5901398:1.1_x000D_
5901398:1.2</t>
        </r>
      </text>
    </comment>
    <comment ref="E120" authorId="4" shapeId="0" xr:uid="{BA88B172-8442-47CE-9850-108334E59CC4}">
      <text>
        <r>
          <rPr>
            <b/>
            <sz val="9"/>
            <color indexed="81"/>
            <rFont val="Segoe UI"/>
            <charset val="1"/>
          </rPr>
          <t>All Reviews:_x000D_
6669828:1.4_x000D_
6100086:1.2_x000D_
6100086:1.3_x000D_
6013212:1.1_x000D_
6013212:1.2</t>
        </r>
      </text>
    </comment>
    <comment ref="H120" authorId="4" shapeId="0" xr:uid="{C663E304-946B-439D-AACB-FA618AF33FCE}">
      <text>
        <r>
          <rPr>
            <b/>
            <sz val="9"/>
            <color indexed="81"/>
            <rFont val="Segoe UI"/>
            <charset val="1"/>
          </rPr>
          <t>All Reviews:_x000D_
6669809:1.4_x000D_
6100054:1.2_x000D_
6100054:1.3_x000D_
6013186:1.2_x000D_
6013186:1.1</t>
        </r>
      </text>
    </comment>
    <comment ref="L120" authorId="4" shapeId="0" xr:uid="{C08DA076-1722-414E-A1CB-44F43EA9719B}">
      <text>
        <r>
          <rPr>
            <b/>
            <sz val="9"/>
            <color indexed="81"/>
            <rFont val="Segoe UI"/>
            <charset val="1"/>
          </rPr>
          <t>All Reviews:_x000D_
6669839:1.4_x000D_
6100112:1.2_x000D_
6100112:1.3_x000D_
6013226:1.1_x000D_
6013226:1.2_x000D_
5901398:1.1</t>
        </r>
      </text>
    </comment>
    <comment ref="E121" authorId="4" shapeId="0" xr:uid="{32B9044C-886E-4970-949F-228CD533BE22}">
      <text>
        <r>
          <rPr>
            <b/>
            <sz val="9"/>
            <color indexed="81"/>
            <rFont val="Segoe UI"/>
            <charset val="1"/>
          </rPr>
          <t>All Reviews:_x000D_
6013212:1.4_x000D_
6013212:1.5</t>
        </r>
      </text>
    </comment>
    <comment ref="H121" authorId="4" shapeId="0" xr:uid="{CA4F7C4C-1CD8-4036-9B0A-8D9B6BC934A6}">
      <text>
        <r>
          <rPr>
            <b/>
            <sz val="9"/>
            <color indexed="81"/>
            <rFont val="Segoe UI"/>
            <charset val="1"/>
          </rPr>
          <t>All Reviews:_x000D_
6013186:1.4_x000D_
6013186:1.5</t>
        </r>
      </text>
    </comment>
    <comment ref="L121" authorId="4" shapeId="0" xr:uid="{B37F1C15-2723-4438-AD8F-666EB6BCD5EF}">
      <text>
        <r>
          <rPr>
            <b/>
            <sz val="9"/>
            <color indexed="81"/>
            <rFont val="Segoe UI"/>
            <charset val="1"/>
          </rPr>
          <t>All Reviews:_x000D_
6013226:1.5_x000D_
6013226:1.4_x000D_
5985841:1.4_x000D_
5985841:1.3_x000D_
5901398:1.1_x000D_
5901398:1.2</t>
        </r>
      </text>
    </comment>
    <comment ref="E122" authorId="4" shapeId="0" xr:uid="{954200A4-8FC8-49A6-A3AB-261C5D5E0DE4}">
      <text>
        <r>
          <rPr>
            <b/>
            <sz val="9"/>
            <color indexed="81"/>
            <rFont val="Segoe UI"/>
            <charset val="1"/>
          </rPr>
          <t>All Reviews:_x000D_
6823807:1.3_x000D_
6013212:1.1_x000D_
6013212:1.2</t>
        </r>
      </text>
    </comment>
    <comment ref="H122" authorId="4" shapeId="0" xr:uid="{B81D1998-8A49-4E7D-A1AC-9C773183588E}">
      <text>
        <r>
          <rPr>
            <b/>
            <sz val="9"/>
            <color indexed="81"/>
            <rFont val="Segoe UI"/>
            <charset val="1"/>
          </rPr>
          <t>All Reviews:_x000D_
6823763:1.3_x000D_
6013186:1.1_x000D_
6013186:1.2</t>
        </r>
      </text>
    </comment>
    <comment ref="L122" authorId="4" shapeId="0" xr:uid="{9978DCE0-A877-4DF2-B9CF-B9E605946E6D}">
      <text>
        <r>
          <rPr>
            <b/>
            <sz val="9"/>
            <color indexed="81"/>
            <rFont val="Segoe UI"/>
            <charset val="1"/>
          </rPr>
          <t>All Reviews:_x000D_
6823843:1.3_x000D_
6013226:1.1_x000D_
6013226:1.2_x000D_
5901398:1.1</t>
        </r>
      </text>
    </comment>
    <comment ref="E123" authorId="4" shapeId="0" xr:uid="{DB366630-B2A0-4D35-91CB-D1EB38626060}">
      <text>
        <r>
          <rPr>
            <b/>
            <sz val="9"/>
            <color indexed="81"/>
            <rFont val="Segoe UI"/>
            <charset val="1"/>
          </rPr>
          <t>All Reviews:_x000D_
6883711:1.15.1.2_x000D_
6823807:1.20_x000D_
6763122:1.19_x000D_
6669828:1.18_x000D_
6542376:1.17_x000D_
6386427:1.15_x000D_
6386183:1.11.1.1_x000D_
6349402:1.14_x000D_
6285442:1.13_x000D_
6252261:1.12_x000D_
6133076:1.10_x000D_
6133076:1.11_x000D_
6041848:1.9_x000D_
6041848:1.10_x000D_
6013212:1.8_x000D_
6013212:1.9_x000D_
5960572:1.8</t>
        </r>
      </text>
    </comment>
    <comment ref="H123" authorId="4" shapeId="0" xr:uid="{153BA8F5-D9A2-4823-BB4D-8F999F3997F5}">
      <text>
        <r>
          <rPr>
            <b/>
            <sz val="9"/>
            <color indexed="81"/>
            <rFont val="Segoe UI"/>
            <charset val="1"/>
          </rPr>
          <t>All Reviews:_x000D_
6883680:1.15.1.2_x000D_
6823763:1.20_x000D_
6763099:1.19_x000D_
6669809:1.18_x000D_
6542335:1.17_x000D_
6386350:1.15_x000D_
6386133:1.11.1.1_x000D_
6349391:1.14_x000D_
6285420:1.13_x000D_
6252219:1.12_x000D_
6133042:1.10_x000D_
6133042:1.11_x000D_
6041805:1.9_x000D_
6041805:1.10_x000D_
6013186:1.8_x000D_
6013186:1.9_x000D_
5960698:1.8</t>
        </r>
      </text>
    </comment>
    <comment ref="L123" authorId="4" shapeId="0" xr:uid="{A0031DEC-7548-4FC7-BECA-1428C047DAD4}">
      <text>
        <r>
          <rPr>
            <b/>
            <sz val="9"/>
            <color indexed="81"/>
            <rFont val="Segoe UI"/>
            <charset val="1"/>
          </rPr>
          <t>All Reviews:_x000D_
6883741:1.15.1.2_x000D_
6823843:1.20_x000D_
6763142:1.19_x000D_
6669839:1.18_x000D_
6542413:1.17_x000D_
6386212:1.11.1.1_x000D_
6386460:1.15_x000D_
6349413:1.14_x000D_
6285497:1.13_x000D_
6252299:1.12_x000D_
6133092:1.10_x000D_
6133092:1.11_x000D_
6041859:1.10_x000D_
6041859:1.9_x000D_
6013226:1.8_x000D_
6013226:1.9_x000D_
5960900:1.8_x000D_
5901398:1.7_x000D_
5676894:1.6_x000D_
5676894:1.5_x000D_
5624953:1.4_x000D_
5597977:1.3_x000D_
5597977:1.2_x000D_
5574593:1.1</t>
        </r>
      </text>
    </comment>
    <comment ref="E124" authorId="4" shapeId="0" xr:uid="{EAE6FBD2-0F41-422C-B43B-CC0DA1B20060}">
      <text>
        <r>
          <rPr>
            <b/>
            <sz val="9"/>
            <color indexed="81"/>
            <rFont val="Segoe UI"/>
            <charset val="1"/>
          </rPr>
          <t>All Reviews:_x000D_
6013212:1.3_x000D_
6013212:1.4</t>
        </r>
      </text>
    </comment>
    <comment ref="H124" authorId="4" shapeId="0" xr:uid="{1FF2E7BF-536D-401A-8F80-29CA44123A18}">
      <text>
        <r>
          <rPr>
            <b/>
            <sz val="9"/>
            <color indexed="81"/>
            <rFont val="Segoe UI"/>
            <charset val="1"/>
          </rPr>
          <t>All Reviews:_x000D_
6013186:1.3_x000D_
6013186:1.4</t>
        </r>
      </text>
    </comment>
    <comment ref="L124" authorId="4" shapeId="0" xr:uid="{1F6D3849-1CC6-46AB-90B2-E274D5894985}">
      <text>
        <r>
          <rPr>
            <b/>
            <sz val="9"/>
            <color indexed="81"/>
            <rFont val="Segoe UI"/>
            <charset val="1"/>
          </rPr>
          <t>All Reviews:_x000D_
6013226:1.3_x000D_
6013226:1.4_x000D_
5750826:1.3_x000D_
5546497:1.1</t>
        </r>
      </text>
    </comment>
    <comment ref="E125" authorId="4" shapeId="0" xr:uid="{46ADFF9E-F19B-4848-BA54-927D00949C4C}">
      <text>
        <r>
          <rPr>
            <b/>
            <sz val="9"/>
            <color indexed="81"/>
            <rFont val="Segoe UI"/>
            <charset val="1"/>
          </rPr>
          <t>All Reviews:_x000D_
6572143:1.11.1.2_x000D_
6542376:1.13_x000D_
6419402:1.12_x000D_
6386183:1.11_x000D_
6220529:1.11_x000D_
6133076:1.8_x000D_
6133076:1.10_x000D_
6013212:1.4_x000D_
6013212:1.8</t>
        </r>
      </text>
    </comment>
    <comment ref="H125" authorId="4" shapeId="0" xr:uid="{EF0616BA-71A4-4C91-AB7F-8CE301C4F49C}">
      <text>
        <r>
          <rPr>
            <b/>
            <sz val="9"/>
            <color indexed="81"/>
            <rFont val="Segoe UI"/>
            <charset val="1"/>
          </rPr>
          <t>All Reviews:_x000D_
6572133:1.11.1.2_x000D_
6542335:1.13_x000D_
6419371:1.12_x000D_
6386133:1.11_x000D_
6220510:1.11_x000D_
6133042:1.8_x000D_
6133042:1.10_x000D_
6013186:1.4_x000D_
6013186:1.8</t>
        </r>
      </text>
    </comment>
    <comment ref="L125" authorId="4" shapeId="0" xr:uid="{95511FFC-16FD-4651-81CF-53D9D9FA180A}">
      <text>
        <r>
          <rPr>
            <b/>
            <sz val="9"/>
            <color indexed="81"/>
            <rFont val="Segoe UI"/>
            <charset val="1"/>
          </rPr>
          <t>All Reviews:_x000D_
6572150:1.11.1.2_x000D_
6542413:1.13_x000D_
6419433:1.12_x000D_
6386212:1.11_x000D_
6220552:1.11_x000D_
6133092:1.8_x000D_
6133092:1.10_x000D_
6013226:1.4_x000D_
6013226:1.8_x000D_
5901398:1.4_x000D_
5750826:1.3_x000D_
5574593:1.1</t>
        </r>
      </text>
    </comment>
    <comment ref="E126" authorId="4" shapeId="0" xr:uid="{29507F35-F346-442C-8CB3-6FB42AE5E6C6}">
      <text>
        <r>
          <rPr>
            <b/>
            <sz val="9"/>
            <color indexed="81"/>
            <rFont val="Segoe UI"/>
            <charset val="1"/>
          </rPr>
          <t>All Reviews:_x000D_
6542376:1.12_x000D_
6386183:1.11_x000D_
6252261:1.11_x000D_
6133076:1.9_x000D_
6133076:1.10_x000D_
6100086:1.8_x000D_
6100086:1.9_x000D_
6013212:1.7_x000D_
6013212:1.8</t>
        </r>
      </text>
    </comment>
    <comment ref="H126" authorId="4" shapeId="0" xr:uid="{C0092AE8-7398-4D81-A6EB-95C53F58A429}">
      <text>
        <r>
          <rPr>
            <b/>
            <sz val="9"/>
            <color indexed="81"/>
            <rFont val="Segoe UI"/>
            <charset val="1"/>
          </rPr>
          <t>All Reviews:_x000D_
6542335:1.12_x000D_
6386133:1.11_x000D_
6252219:1.11_x000D_
6133042:1.9_x000D_
6133042:1.10_x000D_
6100054:1.8_x000D_
6100054:1.9_x000D_
6013186:1.7_x000D_
6013186:1.8</t>
        </r>
      </text>
    </comment>
    <comment ref="L126" authorId="4" shapeId="0" xr:uid="{86EF3FD3-7B94-4854-B7C7-B33140475DB1}">
      <text>
        <r>
          <rPr>
            <b/>
            <sz val="9"/>
            <color indexed="81"/>
            <rFont val="Segoe UI"/>
            <charset val="1"/>
          </rPr>
          <t>All Reviews:_x000D_
7167553:1.11.1.1_x000D_
6542413:1.12_x000D_
6386212:1.11_x000D_
6252299:1.11_x000D_
6133092:1.9_x000D_
6133092:1.10_x000D_
6100112:1.8_x000D_
6100112:1.9_x000D_
6013226:1.7_x000D_
6013226:1.8_x000D_
5812644:1.7_x000D_
5750826:1.6_x000D_
5624953:1.5_x000D_
5574593:1.3_x000D_
5546497:1.1_x000D_
5546497:1.2</t>
        </r>
      </text>
    </comment>
    <comment ref="E127" authorId="4" shapeId="0" xr:uid="{D35C816D-B0EC-42D2-AC27-ACD4EA9218F7}">
      <text>
        <r>
          <rPr>
            <b/>
            <sz val="9"/>
            <color indexed="81"/>
            <rFont val="Segoe UI"/>
            <charset val="1"/>
          </rPr>
          <t>All Reviews:_x000D_
6100086:1.5_x000D_
6100086:1.6_x000D_
6013212:1.4_x000D_
6013212:1.5</t>
        </r>
      </text>
    </comment>
    <comment ref="H127" authorId="4" shapeId="0" xr:uid="{1940C58E-B700-4CDE-B726-3BC96E53B529}">
      <text>
        <r>
          <rPr>
            <b/>
            <sz val="9"/>
            <color indexed="81"/>
            <rFont val="Segoe UI"/>
            <charset val="1"/>
          </rPr>
          <t>All Reviews:_x000D_
6100054:1.5_x000D_
6100054:1.6_x000D_
6013186:1.4_x000D_
6013186:1.5</t>
        </r>
      </text>
    </comment>
    <comment ref="L127" authorId="4" shapeId="0" xr:uid="{0D967ABA-6401-45D0-99D4-15467FF8866D}">
      <text>
        <r>
          <rPr>
            <b/>
            <sz val="9"/>
            <color indexed="81"/>
            <rFont val="Segoe UI"/>
            <charset val="1"/>
          </rPr>
          <t>All Reviews:_x000D_
6100112:1.5_x000D_
6100112:1.6_x000D_
6013226:1.4_x000D_
6013226:1.5_x000D_
5597977:1.4_x000D_
5574593:1.2_x000D_
5546497:1.1</t>
        </r>
      </text>
    </comment>
    <comment ref="E128" authorId="4" shapeId="0" xr:uid="{71A1A0CF-843D-443D-92E0-24E62FBC563A}">
      <text>
        <r>
          <rPr>
            <b/>
            <sz val="9"/>
            <color indexed="81"/>
            <rFont val="Segoe UI"/>
            <charset val="1"/>
          </rPr>
          <t>All Reviews:_x000D_
6669828:1.13_x000D_
6256147:1.12_x000D_
6252261:1.12_x000D_
6220529:1.11_x000D_
6013212:1.9_x000D_
6013212:1.10</t>
        </r>
      </text>
    </comment>
    <comment ref="H128" authorId="4" shapeId="0" xr:uid="{93EADA7E-E411-4E61-8FBB-7926C31796EE}">
      <text>
        <r>
          <rPr>
            <b/>
            <sz val="9"/>
            <color indexed="81"/>
            <rFont val="Segoe UI"/>
            <charset val="1"/>
          </rPr>
          <t>All Reviews:_x000D_
6669809:1.13_x000D_
6252219:1.12_x000D_
6256106:1.12_x000D_
6220510:1.11_x000D_
6013186:1.9_x000D_
6013186:1.10</t>
        </r>
      </text>
    </comment>
    <comment ref="L128" authorId="4" shapeId="0" xr:uid="{E28FB9E7-C03B-436B-BA79-D0C11AA50A91}">
      <text>
        <r>
          <rPr>
            <b/>
            <sz val="9"/>
            <color indexed="81"/>
            <rFont val="Segoe UI"/>
            <charset val="1"/>
          </rPr>
          <t>All Reviews:_x000D_
6669839:1.13_x000D_
6252299:1.12_x000D_
6256213:1.12_x000D_
6220552:1.11_x000D_
6013226:1.9_x000D_
6013226:1.10_x000D_
5782725:1.9_x000D_
5750826:1.7_x000D_
5699993:1.6_x000D_
5676894:1.5_x000D_
5597977:1.4_x000D_
5597977:1.3_x000D_
5597977:1.2</t>
        </r>
      </text>
    </comment>
    <comment ref="E129" authorId="4" shapeId="0" xr:uid="{89F4C7FB-D651-435D-9FE8-10382FBA040A}">
      <text>
        <r>
          <rPr>
            <b/>
            <sz val="9"/>
            <color indexed="81"/>
            <rFont val="Segoe UI"/>
            <charset val="1"/>
          </rPr>
          <t>All Reviews:_x000D_
6883711:1.9.2.1_x000D_
6542376:1.11_x000D_
6175731:1.9.1.1_x000D_
6013212:1.8_x000D_
6013212:1.9_x000D_
5960572:1.8</t>
        </r>
      </text>
    </comment>
    <comment ref="H129" authorId="4" shapeId="0" xr:uid="{FA4DEB18-75D5-4DE2-8480-58BDCFA3A29E}">
      <text>
        <r>
          <rPr>
            <b/>
            <sz val="9"/>
            <color indexed="81"/>
            <rFont val="Segoe UI"/>
            <charset val="1"/>
          </rPr>
          <t>All Reviews:_x000D_
6883680:1.9.2.1_x000D_
6542335:1.11_x000D_
6175714:1.9.1.1_x000D_
6013186:1.8_x000D_
6013186:1.9_x000D_
5960698:1.8</t>
        </r>
      </text>
    </comment>
    <comment ref="L129" authorId="4" shapeId="0" xr:uid="{ECD3C47D-E756-4D54-8AA1-1F049D7F4029}">
      <text>
        <r>
          <rPr>
            <b/>
            <sz val="9"/>
            <color indexed="81"/>
            <rFont val="Segoe UI"/>
            <charset val="1"/>
          </rPr>
          <t>All Reviews:_x000D_
6883741:1.9.2.1_x000D_
6542413:1.11_x000D_
6175759:1.9.1.1_x000D_
6013226:1.8_x000D_
6013226:1.9_x000D_
5960900:1.8_x000D_
5901398:1.7_x000D_
5782725:1.6_x000D_
5750826:1.5_x000D_
5624953:1.4_x000D_
5624953:1.3_x000D_
5597977:1.2_x000D_
5597977:1.1</t>
        </r>
      </text>
    </comment>
    <comment ref="E130" authorId="4" shapeId="0" xr:uid="{D66408BE-8E82-4BD6-9A5D-6092083622F0}">
      <text>
        <r>
          <rPr>
            <b/>
            <sz val="9"/>
            <color indexed="81"/>
            <rFont val="Segoe UI"/>
            <charset val="1"/>
          </rPr>
          <t>All Reviews:_x000D_
6669828:1.15_x000D_
6542376:1.14_x000D_
6512287:1.13_x000D_
6517139:1.13_x000D_
6493490:1.13_x000D_
6100086:1.11_x000D_
6100086:1.12_x000D_
6013212:1.9_x000D_
6013212:1.11_x000D_
5985824:1.8_x000D_
5985824:1.9_x000D_
5960572:1.8</t>
        </r>
      </text>
    </comment>
    <comment ref="H130" authorId="4" shapeId="0" xr:uid="{488A4386-2B1F-474F-BDF3-12887D4F80F3}">
      <text>
        <r>
          <rPr>
            <b/>
            <sz val="9"/>
            <color indexed="81"/>
            <rFont val="Segoe UI"/>
            <charset val="1"/>
          </rPr>
          <t>All Reviews:_x000D_
6669809:1.15_x000D_
6542335:1.14_x000D_
6517107:1.13_x000D_
6512272:1.13_x000D_
6493441:1.13_x000D_
6100054:1.11_x000D_
6100054:1.12_x000D_
6013186:1.9_x000D_
6013186:1.11_x000D_
5985814:1.8_x000D_
5985814:1.9_x000D_
5960698:1.8</t>
        </r>
      </text>
    </comment>
    <comment ref="L130" authorId="4" shapeId="0" xr:uid="{4BD7C713-B689-457D-9AFD-A5A26EE6C743}">
      <text>
        <r>
          <rPr>
            <b/>
            <sz val="9"/>
            <color indexed="81"/>
            <rFont val="Segoe UI"/>
            <charset val="1"/>
          </rPr>
          <t>All Reviews:_x000D_
6669839:1.15_x000D_
6542413:1.14_x000D_
6512296:1.13_x000D_
6517163:1.13_x000D_
6493502:1.13_x000D_
6100112:1.11_x000D_
6100112:1.12_x000D_
6013226:1.9_x000D_
6013226:1.11_x000D_
5985841:1.8_x000D_
5985841:1.9_x000D_
5960900:1.8_x000D_
5901398:1.7_x000D_
5873363:1.6_x000D_
5750826:1.5_x000D_
5699993:1.4_x000D_
5699993:1.3_x000D_
5597977:1.2_x000D_
5597977:1.1</t>
        </r>
      </text>
    </comment>
    <comment ref="E131" authorId="4" shapeId="0" xr:uid="{003F5DD6-EE57-405D-8FAC-2B57715D22E5}">
      <text>
        <r>
          <rPr>
            <b/>
            <sz val="9"/>
            <color indexed="81"/>
            <rFont val="Segoe UI"/>
            <charset val="1"/>
          </rPr>
          <t>All Reviews:_x000D_
6956726:1.12.1.3_x000D_
6823807:1.15_x000D_
6707391:1.12.1.2_x000D_
6572143:1.12.1.1_x000D_
6542376:1.14_x000D_
6517139:1.13_x000D_
6479884:1.12_x000D_
6460426:1.12_x000D_
6419402:1.10_x000D_
6386183:1.10_x000D_
6285701:1.9_x000D_
6285442:1.9_x000D_
6133076:1.7_x000D_
6133076:1.8_x000D_
6013212:1.5_x000D_
6013212:1.7_x000D_
5985824:1.4_x000D_
5985824:1.5_x000D_
5960572:1.4</t>
        </r>
      </text>
    </comment>
    <comment ref="H131" authorId="4" shapeId="0" xr:uid="{78275430-C582-42F9-A248-C4269AEB451E}">
      <text>
        <r>
          <rPr>
            <b/>
            <sz val="9"/>
            <color indexed="81"/>
            <rFont val="Segoe UI"/>
            <charset val="1"/>
          </rPr>
          <t>All Reviews:_x000D_
6956709:1.12.1.3_x000D_
6823763:1.15_x000D_
6707363:1.12.1.2_x000D_
6572133:1.12.1.1_x000D_
6542335:1.14_x000D_
6517107:1.13_x000D_
6479805:1.12_x000D_
6460372:1.12_x000D_
6419371:1.10_x000D_
6386133:1.10_x000D_
6285684:1.9_x000D_
6285420:1.9_x000D_
6133042:1.7_x000D_
6133042:1.8_x000D_
6013186:1.5_x000D_
6013186:1.7_x000D_
5985814:1.4_x000D_
5985814:1.5_x000D_
5960698:1.4_x000D_
5782710:1.2</t>
        </r>
      </text>
    </comment>
    <comment ref="L131" authorId="4" shapeId="0" xr:uid="{73631E8B-DC27-4A27-BB2F-C6EBAC428878}">
      <text>
        <r>
          <rPr>
            <b/>
            <sz val="9"/>
            <color indexed="81"/>
            <rFont val="Segoe UI"/>
            <charset val="1"/>
          </rPr>
          <t>All Reviews:_x000D_
6956755:1.12.1.3_x000D_
6823843:1.15_x000D_
6707403:1.12.1.2_x000D_
6572150:1.12.1.1_x000D_
6542413:1.14_x000D_
6517163:1.13_x000D_
6479937:1.12_x000D_
6460444:1.12_x000D_
6446311:1.11_x000D_
6419433:1.10_x000D_
6386212:1.10_x000D_
6285497:1.9_x000D_
6285718:1.9_x000D_
6133092:1.7_x000D_
6133092:1.8_x000D_
6013226:1.7_x000D_
6013226:1.5_x000D_
5985841:1.4_x000D_
5985841:1.5_x000D_
5960900:1.4_x000D_
5873363:1.3_x000D_
5750826:1.2_x000D_
5676894:1.1</t>
        </r>
      </text>
    </comment>
    <comment ref="E132" authorId="4" shapeId="0" xr:uid="{917DB863-E4B1-457E-A053-0DA2FD314928}">
      <text>
        <r>
          <rPr>
            <b/>
            <sz val="9"/>
            <color indexed="81"/>
            <rFont val="Segoe UI"/>
            <charset val="1"/>
          </rPr>
          <t>All Reviews:_x000D_
6386427:1.5_x000D_
6013212:1.3_x000D_
6013212:1.4</t>
        </r>
      </text>
    </comment>
    <comment ref="H132" authorId="4" shapeId="0" xr:uid="{F1030767-3996-42B0-BCD7-3189208E8E5C}">
      <text>
        <r>
          <rPr>
            <b/>
            <sz val="9"/>
            <color indexed="81"/>
            <rFont val="Segoe UI"/>
            <charset val="1"/>
          </rPr>
          <t>All Reviews:_x000D_
6386350:1.5_x000D_
6013186:1.3_x000D_
6013186:1.4</t>
        </r>
      </text>
    </comment>
    <comment ref="L132" authorId="4" shapeId="0" xr:uid="{3ED5565A-43E7-4520-ADEE-52FAAB7BFE20}">
      <text>
        <r>
          <rPr>
            <b/>
            <sz val="9"/>
            <color indexed="81"/>
            <rFont val="Segoe UI"/>
            <charset val="1"/>
          </rPr>
          <t>All Reviews:_x000D_
6386460:1.5_x000D_
6013226:1.3_x000D_
6013226:1.4_x000D_
5750826:1.3_x000D_
5546497:1.1</t>
        </r>
      </text>
    </comment>
    <comment ref="E133" authorId="4" shapeId="0" xr:uid="{25043DAF-6A01-4869-9E15-87F1BE4B99CA}">
      <text>
        <r>
          <rPr>
            <b/>
            <sz val="9"/>
            <color indexed="81"/>
            <rFont val="Segoe UI"/>
            <charset val="1"/>
          </rPr>
          <t>All Reviews:_x000D_
6100086:1.5_x000D_
6100086:1.6</t>
        </r>
      </text>
    </comment>
    <comment ref="H133" authorId="4" shapeId="0" xr:uid="{58DFF375-E1EB-47F5-B16E-BDE6E03D922D}">
      <text>
        <r>
          <rPr>
            <b/>
            <sz val="9"/>
            <color indexed="81"/>
            <rFont val="Segoe UI"/>
            <charset val="1"/>
          </rPr>
          <t>All Reviews:_x000D_
6100054:1.5_x000D_
6100054:1.6</t>
        </r>
      </text>
    </comment>
    <comment ref="L133" authorId="4" shapeId="0" xr:uid="{B2C10985-FDBD-4F8D-92C1-63005E77A2D4}">
      <text>
        <r>
          <rPr>
            <b/>
            <sz val="9"/>
            <color indexed="81"/>
            <rFont val="Segoe UI"/>
            <charset val="1"/>
          </rPr>
          <t>All Reviews:_x000D_
6100112:1.5_x000D_
6100112:1.6_x000D_
5901398:1.5_x000D_
5750826:1.4_x000D_
5624953:1.2_x000D_
5624953:1.3_x000D_
5597977:1.1</t>
        </r>
      </text>
    </comment>
    <comment ref="L134" authorId="4" shapeId="0" xr:uid="{DD6F8279-31C9-4647-9F28-D9217D6958EC}">
      <text>
        <r>
          <rPr>
            <b/>
            <sz val="9"/>
            <color indexed="81"/>
            <rFont val="Segoe UI"/>
            <charset val="1"/>
          </rPr>
          <t>All Reviews:_x000D_
5901398:1.4_x000D_
5901398:1.5_x000D_
5750826:1.3_x000D_
5624953:1.2_x000D_
5597977:1.1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uidv8878</author>
    <author>Michael Burkhardt</author>
  </authors>
  <commentList>
    <comment ref="A4" authorId="0" shapeId="0" xr:uid="{00000000-0006-0000-0200-000001000000}">
      <text>
        <r>
          <rPr>
            <b/>
            <sz val="9"/>
            <color indexed="81"/>
            <rFont val="Tahoma"/>
            <family val="2"/>
          </rPr>
          <t>uidv8878:</t>
        </r>
        <r>
          <rPr>
            <sz val="9"/>
            <color indexed="81"/>
            <rFont val="Tahoma"/>
            <family val="2"/>
          </rPr>
          <t xml:space="preserve">
Use "Trunk" for trunk</t>
        </r>
      </text>
    </comment>
    <comment ref="A5" authorId="1" shapeId="0" xr:uid="{00000000-0006-0000-0200-000002000000}">
      <text>
        <r>
          <rPr>
            <b/>
            <sz val="9"/>
            <color indexed="81"/>
            <rFont val="Tahoma"/>
            <family val="2"/>
          </rPr>
          <t>Michael Burkhardt:</t>
        </r>
        <r>
          <rPr>
            <sz val="9"/>
            <color indexed="81"/>
            <rFont val="Tahoma"/>
            <family val="2"/>
          </rPr>
          <t xml:space="preserve">
Projects used in Review tool (case sensitive).
Seperate the projects with a comma &gt;,&lt;</t>
        </r>
      </text>
    </comment>
    <comment ref="A7" authorId="1" shapeId="0" xr:uid="{00000000-0006-0000-0200-000003000000}">
      <text>
        <r>
          <rPr>
            <b/>
            <sz val="9"/>
            <color indexed="81"/>
            <rFont val="Tahoma"/>
            <family val="2"/>
          </rPr>
          <t>Michael Burkhardt:</t>
        </r>
        <r>
          <rPr>
            <sz val="9"/>
            <color indexed="81"/>
            <rFont val="Tahoma"/>
            <family val="2"/>
          </rPr>
          <t xml:space="preserve">
Either enter the URL for the Jenkins nightly build (e.g. http://uud5rtwg:8080/job/MFC431_Nightly_DPU/)
Or enter the local file path and name into this field (e.g. D:\SB\mainstream\Components\DPUFF_FunctionsFramework\05_Testing\02_Reports\Static_Tests\DPUFF\staticCodeAnalysisReport.csv)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Adis Halilovic</author>
    <author>uidw2629</author>
    <author>R. Freitas</author>
  </authors>
  <commentList>
    <comment ref="C8" authorId="0" shapeId="0" xr:uid="{00000000-0006-0000-0400-000001000000}">
      <text>
        <r>
          <rPr>
            <b/>
            <sz val="9"/>
            <color indexed="81"/>
            <rFont val="Tahoma"/>
            <family val="2"/>
          </rPr>
          <t>Instruction:</t>
        </r>
        <r>
          <rPr>
            <sz val="9"/>
            <color indexed="81"/>
            <rFont val="Tahoma"/>
            <family val="2"/>
          </rPr>
          <t xml:space="preserve">
0: document/task was not done
1: document/task was done
NA: not applicable, comment mandatory</t>
        </r>
      </text>
    </comment>
    <comment ref="D8" authorId="0" shapeId="0" xr:uid="{00000000-0006-0000-0400-000002000000}">
      <text>
        <r>
          <rPr>
            <b/>
            <sz val="9"/>
            <color indexed="81"/>
            <rFont val="Tahoma"/>
            <family val="2"/>
          </rPr>
          <t xml:space="preserve">Instruction:
</t>
        </r>
        <r>
          <rPr>
            <sz val="9"/>
            <color indexed="81"/>
            <rFont val="Tahoma"/>
            <family val="2"/>
          </rPr>
          <t>0: review was not performed
&lt;Review-Id&gt;: review was performed
NA: not applicable, comment mandatory</t>
        </r>
      </text>
    </comment>
    <comment ref="E8" authorId="1" shapeId="0" xr:uid="{00000000-0006-0000-0400-000003000000}">
      <text>
        <r>
          <rPr>
            <b/>
            <sz val="9"/>
            <color indexed="81"/>
            <rFont val="Tahoma"/>
            <family val="2"/>
          </rPr>
          <t>Instruction:</t>
        </r>
        <r>
          <rPr>
            <sz val="9"/>
            <color indexed="81"/>
            <rFont val="Tahoma"/>
            <family val="2"/>
          </rPr>
          <t xml:space="preserve">
The number of warnings depends on the project. The maximum number of warnings present in any of the projects shall be documented here.
</t>
        </r>
        <r>
          <rPr>
            <b/>
            <sz val="9"/>
            <color indexed="81"/>
            <rFont val="Tahoma"/>
            <family val="2"/>
          </rPr>
          <t>Example:</t>
        </r>
        <r>
          <rPr>
            <sz val="9"/>
            <color indexed="81"/>
            <rFont val="Tahoma"/>
            <family val="2"/>
          </rPr>
          <t xml:space="preserve">
Project A: no warnings
Project B: 2 critical
Project C: 3 critical. 
Critical = 3</t>
        </r>
      </text>
    </comment>
    <comment ref="G8" authorId="0" shapeId="0" xr:uid="{00000000-0006-0000-0400-000004000000}">
      <text>
        <r>
          <rPr>
            <b/>
            <sz val="9"/>
            <color indexed="81"/>
            <rFont val="Tahoma"/>
            <family val="2"/>
          </rPr>
          <t>Instruction:</t>
        </r>
        <r>
          <rPr>
            <sz val="9"/>
            <color indexed="81"/>
            <rFont val="Tahoma"/>
            <family val="2"/>
          </rPr>
          <t xml:space="preserve">
0: review was not performed
&lt;Review-Id&gt;: review was performed
NA: not applicable, comment mandatory
</t>
        </r>
        <r>
          <rPr>
            <b/>
            <sz val="9"/>
            <color indexed="81"/>
            <rFont val="Tahoma"/>
            <family val="2"/>
          </rPr>
          <t xml:space="preserve">Note:
</t>
        </r>
        <r>
          <rPr>
            <sz val="9"/>
            <color indexed="81"/>
            <rFont val="Tahoma"/>
            <family val="2"/>
          </rPr>
          <t>For manually writen code
- Code Review ID
For generated code 
- Configuration Review ID</t>
        </r>
      </text>
    </comment>
    <comment ref="E9" authorId="0" shapeId="0" xr:uid="{00000000-0006-0000-0400-000005000000}">
      <text>
        <r>
          <rPr>
            <b/>
            <sz val="9"/>
            <color indexed="81"/>
            <rFont val="Tahoma"/>
            <family val="2"/>
          </rPr>
          <t>Instruction:</t>
        </r>
        <r>
          <rPr>
            <sz val="9"/>
            <color indexed="81"/>
            <rFont val="Tahoma"/>
            <family val="2"/>
          </rPr>
          <t xml:space="preserve">
If the static analysis was 
a) executed: number of </t>
        </r>
        <r>
          <rPr>
            <b/>
            <u/>
            <sz val="9"/>
            <color indexed="81"/>
            <rFont val="Tahoma"/>
            <family val="2"/>
          </rPr>
          <t>critical</t>
        </r>
        <r>
          <rPr>
            <sz val="9"/>
            <color indexed="81"/>
            <rFont val="Tahoma"/>
            <family val="2"/>
          </rPr>
          <t xml:space="preserve"> findings
b) </t>
        </r>
        <r>
          <rPr>
            <b/>
            <u/>
            <sz val="9"/>
            <color indexed="81"/>
            <rFont val="Tahoma"/>
            <family val="2"/>
          </rPr>
          <t>not</t>
        </r>
        <r>
          <rPr>
            <sz val="9"/>
            <color indexed="81"/>
            <rFont val="Tahoma"/>
            <family val="2"/>
          </rPr>
          <t xml:space="preserve"> executed
 - but should be executed: TBD (to be defined)
 - should not be executed: NA (not applicable, comment mandatory)</t>
        </r>
      </text>
    </comment>
    <comment ref="F9" authorId="0" shapeId="0" xr:uid="{00000000-0006-0000-0400-000006000000}">
      <text>
        <r>
          <rPr>
            <b/>
            <sz val="9"/>
            <color indexed="81"/>
            <rFont val="Tahoma"/>
            <family val="2"/>
          </rPr>
          <t>Instruction:</t>
        </r>
        <r>
          <rPr>
            <sz val="9"/>
            <color indexed="81"/>
            <rFont val="Tahoma"/>
            <family val="2"/>
          </rPr>
          <t xml:space="preserve">
If the static analysis was 
a) executed: number of </t>
        </r>
        <r>
          <rPr>
            <b/>
            <u/>
            <sz val="9"/>
            <color indexed="81"/>
            <rFont val="Tahoma"/>
            <family val="2"/>
          </rPr>
          <t>mandatory</t>
        </r>
        <r>
          <rPr>
            <sz val="9"/>
            <color indexed="81"/>
            <rFont val="Tahoma"/>
            <family val="2"/>
          </rPr>
          <t xml:space="preserve"> findings
b) </t>
        </r>
        <r>
          <rPr>
            <b/>
            <u/>
            <sz val="9"/>
            <color indexed="81"/>
            <rFont val="Tahoma"/>
            <family val="2"/>
          </rPr>
          <t>not</t>
        </r>
        <r>
          <rPr>
            <sz val="9"/>
            <color indexed="81"/>
            <rFont val="Tahoma"/>
            <family val="2"/>
          </rPr>
          <t xml:space="preserve"> executed: 
 - but should be executed: TBD (to be defined)
 - should not be executed: NA (not applicable, comment mandatory)</t>
        </r>
      </text>
    </comment>
    <comment ref="H9" authorId="0" shapeId="0" xr:uid="{00000000-0006-0000-0400-000007000000}">
      <text>
        <r>
          <rPr>
            <b/>
            <sz val="9"/>
            <color indexed="81"/>
            <rFont val="Tahoma"/>
            <family val="2"/>
          </rPr>
          <t>Instruction:</t>
        </r>
        <r>
          <rPr>
            <sz val="9"/>
            <color indexed="81"/>
            <rFont val="Tahoma"/>
            <family val="2"/>
          </rPr>
          <t xml:space="preserve">
The objective of this coverage metric is to execute each statement at least once. 
If the dynamic module test was
a) executed: achieved statement coverage in % (without "%" e.g. 90, 80)
b) </t>
        </r>
        <r>
          <rPr>
            <b/>
            <u/>
            <sz val="9"/>
            <color indexed="81"/>
            <rFont val="Tahoma"/>
            <family val="2"/>
          </rPr>
          <t>not</t>
        </r>
        <r>
          <rPr>
            <sz val="9"/>
            <color indexed="81"/>
            <rFont val="Tahoma"/>
            <family val="2"/>
          </rPr>
          <t xml:space="preserve"> executed
 - but should be executed: 0 (without "%")
 - and should not be executed: NA (not applicable, comment mandatory)</t>
        </r>
      </text>
    </comment>
    <comment ref="I9" authorId="0" shapeId="0" xr:uid="{00000000-0006-0000-0400-000008000000}">
      <text>
        <r>
          <rPr>
            <b/>
            <sz val="9"/>
            <color indexed="81"/>
            <rFont val="Tahoma"/>
            <family val="2"/>
          </rPr>
          <t xml:space="preserve">Instruction:
</t>
        </r>
        <r>
          <rPr>
            <sz val="9"/>
            <color indexed="81"/>
            <rFont val="Tahoma"/>
            <family val="2"/>
          </rPr>
          <t xml:space="preserve">The objective of this coverage metric is to execute every point of entry and exit (branch) at least once, i.e. every decision in the program has taken all possible outcomes at least once. 
If the dynamic module test was 
a) executed: achieved branch coverage in % (without "%" e.g. 90, 80)
b) </t>
        </r>
        <r>
          <rPr>
            <b/>
            <u/>
            <sz val="9"/>
            <color indexed="81"/>
            <rFont val="Tahoma"/>
            <family val="2"/>
          </rPr>
          <t>not</t>
        </r>
        <r>
          <rPr>
            <sz val="9"/>
            <color indexed="81"/>
            <rFont val="Tahoma"/>
            <family val="2"/>
          </rPr>
          <t xml:space="preserve"> executed:
 - but should be executed: 0 (without "%")
 - and should not be executed: NA (not applicable, comment mandatory)</t>
        </r>
      </text>
    </comment>
    <comment ref="J9" authorId="0" shapeId="0" xr:uid="{00000000-0006-0000-0400-000009000000}">
      <text>
        <r>
          <rPr>
            <b/>
            <sz val="9"/>
            <color indexed="81"/>
            <rFont val="Tahoma"/>
            <family val="2"/>
          </rPr>
          <t xml:space="preserve">Instruction:
</t>
        </r>
        <r>
          <rPr>
            <sz val="9"/>
            <color indexed="81"/>
            <rFont val="Tahoma"/>
            <family val="2"/>
          </rPr>
          <t xml:space="preserve">If the dynamic module test was 
a) executed: passed test cases/all test cases in % (without "%" e.g. 90, 80)
b) </t>
        </r>
        <r>
          <rPr>
            <b/>
            <u/>
            <sz val="9"/>
            <color indexed="81"/>
            <rFont val="Tahoma"/>
            <family val="2"/>
          </rPr>
          <t>not</t>
        </r>
        <r>
          <rPr>
            <sz val="9"/>
            <color indexed="81"/>
            <rFont val="Tahoma"/>
            <family val="2"/>
          </rPr>
          <t xml:space="preserve"> executed:
 - but should be executed: 0 (without "%")
 - and should not be executed: NA (not applicable, comment mandatory)</t>
        </r>
      </text>
    </comment>
    <comment ref="K9" authorId="2" shapeId="0" xr:uid="{00000000-0006-0000-0400-00000A000000}">
      <text>
        <r>
          <rPr>
            <b/>
            <sz val="9"/>
            <color indexed="81"/>
            <rFont val="Tahoma"/>
            <family val="2"/>
          </rPr>
          <t>Instruction:</t>
        </r>
        <r>
          <rPr>
            <sz val="9"/>
            <color indexed="81"/>
            <rFont val="Tahoma"/>
            <family val="2"/>
          </rPr>
          <t xml:space="preserve">
0: review was not performed
&lt;Review-Id&gt;: review was performed
NA: not applicable, comment mandatory</t>
        </r>
      </text>
    </comment>
  </commentList>
</comments>
</file>

<file path=xl/sharedStrings.xml><?xml version="1.0" encoding="utf-8"?>
<sst xmlns="http://schemas.openxmlformats.org/spreadsheetml/2006/main" count="1384" uniqueCount="430">
  <si>
    <t>Design</t>
  </si>
  <si>
    <t>Legend:</t>
  </si>
  <si>
    <t>Description</t>
  </si>
  <si>
    <t>ADAS</t>
  </si>
  <si>
    <t>Header Page</t>
  </si>
  <si>
    <t>Fill in project data:</t>
  </si>
  <si>
    <t>Component Status Sheet</t>
  </si>
  <si>
    <t>Definition of Component Status Sheet</t>
  </si>
  <si>
    <t>Content of Component Status Sheet</t>
  </si>
  <si>
    <r>
      <rPr>
        <b/>
        <sz val="10"/>
        <rFont val="Arial"/>
        <family val="2"/>
      </rPr>
      <t>SW C</t>
    </r>
    <r>
      <rPr>
        <sz val="10"/>
        <rFont val="Arial"/>
        <family val="2"/>
      </rPr>
      <t>omponent</t>
    </r>
    <r>
      <rPr>
        <b/>
        <sz val="10"/>
        <rFont val="Arial"/>
        <family val="2"/>
      </rPr>
      <t xml:space="preserve"> O</t>
    </r>
    <r>
      <rPr>
        <sz val="10"/>
        <rFont val="Arial"/>
        <family val="2"/>
      </rPr>
      <t>wner</t>
    </r>
  </si>
  <si>
    <t>The Component Status Sheet is an Excel file with following sheets:</t>
  </si>
  <si>
    <t>SW Component Status</t>
  </si>
  <si>
    <t>File  Revision</t>
  </si>
  <si>
    <t>Design 
Review</t>
  </si>
  <si>
    <t>Static 
Analysis QAC</t>
  </si>
  <si>
    <t>critical</t>
  </si>
  <si>
    <t>mandatory</t>
  </si>
  <si>
    <t>C0</t>
  </si>
  <si>
    <t>C1</t>
  </si>
  <si>
    <t>Ratio Passed Test Cases/All Test Cases</t>
  </si>
  <si>
    <t xml:space="preserve"> Comment</t>
  </si>
  <si>
    <t>Editable field</t>
  </si>
  <si>
    <t>Not editable field</t>
  </si>
  <si>
    <t>Storage location of this sheet:</t>
  </si>
  <si>
    <t>- location in configuration management tool (e.g. using StoreInClip)</t>
  </si>
  <si>
    <t>- names of the SW component owner (CO)</t>
  </si>
  <si>
    <t>File revision: The file revision related to this component status sheet and to a component release.</t>
  </si>
  <si>
    <t>This sheet.</t>
  </si>
  <si>
    <t>QAC-Version: QAC version used in the static analysis.</t>
  </si>
  <si>
    <t>Template Version</t>
  </si>
  <si>
    <t>Dynamic Unit Test Review</t>
  </si>
  <si>
    <t>Dynamic Unit Test</t>
  </si>
  <si>
    <t>Code / Configuration
Review</t>
  </si>
  <si>
    <t>The sheet SW Component Status is an overview of all files in a sub-component.</t>
  </si>
  <si>
    <t>- component name / sub-component name</t>
  </si>
  <si>
    <t>The Component Status Sheet has to be under version control and related to an component release item!</t>
  </si>
  <si>
    <t>Sub-Component</t>
  </si>
  <si>
    <t>Dynamic Module Test Review</t>
  </si>
  <si>
    <t>NA</t>
  </si>
  <si>
    <t>Detailed Design</t>
  </si>
  <si>
    <t>Detailed Design 
Review</t>
  </si>
  <si>
    <t>Code /
Configuration
Review</t>
  </si>
  <si>
    <t>Configuration-/Change-Management tool storage location (&lt;MKS-Link&gt;)</t>
  </si>
  <si>
    <t>Mainstream</t>
  </si>
  <si>
    <t>.c</t>
  </si>
  <si>
    <t>.cpp</t>
  </si>
  <si>
    <t>.h</t>
  </si>
  <si>
    <t>…</t>
  </si>
  <si>
    <t>Configuration for component status sheet fill tool</t>
  </si>
  <si>
    <t>CSS_DevPath</t>
  </si>
  <si>
    <t>CSS_ReviewToolProjects</t>
  </si>
  <si>
    <t>CSS_LastUpdate</t>
  </si>
  <si>
    <t>CSS_FileFilter</t>
  </si>
  <si>
    <t>CSS_FileDirectories</t>
  </si>
  <si>
    <t>CSS_ComponentBasePath</t>
  </si>
  <si>
    <t>Name</t>
  </si>
  <si>
    <t>Value</t>
  </si>
  <si>
    <t>Development Path name</t>
  </si>
  <si>
    <t>Name of Project(s) in Review Tool</t>
  </si>
  <si>
    <t>Directories to contain the files to list</t>
  </si>
  <si>
    <t>Filter, which file types to list</t>
  </si>
  <si>
    <t>Last Line</t>
  </si>
  <si>
    <t>Component IMS repository path</t>
  </si>
  <si>
    <t>First Line</t>
  </si>
  <si>
    <t>04_Engineering/00_Projects</t>
  </si>
  <si>
    <t>04_Engineering/01_Source_Code</t>
  </si>
  <si>
    <t>CSS_JenkinsUrl</t>
  </si>
  <si>
    <t>Config</t>
  </si>
  <si>
    <t>Explanation</t>
  </si>
  <si>
    <t>A</t>
  </si>
  <si>
    <t>B</t>
  </si>
  <si>
    <t>C</t>
  </si>
  <si>
    <t>Folder: The name of the folder from the folder structure</t>
  </si>
  <si>
    <t>Filename: The name of the file in the folder of the sub-component</t>
  </si>
  <si>
    <t>D</t>
  </si>
  <si>
    <t>E</t>
  </si>
  <si>
    <t>H</t>
  </si>
  <si>
    <t>I</t>
  </si>
  <si>
    <t>J</t>
  </si>
  <si>
    <t>K</t>
  </si>
  <si>
    <t>L</t>
  </si>
  <si>
    <t>M</t>
  </si>
  <si>
    <t>Detailed Design Review: if the review of the detailed design is available</t>
  </si>
  <si>
    <t>Code / Configuration Review: if the review of the code or configuration is available</t>
  </si>
  <si>
    <t>Detailed Design: if the detailed design for the corresponding file is available</t>
  </si>
  <si>
    <t>Dynamic Unit Test, C0: percentage for statement coverage</t>
  </si>
  <si>
    <t>Dynamic Unit Test, C1: percentage for branch coverage</t>
  </si>
  <si>
    <t>Dynamic Unit Test, Ratio Passed Test Cases/All Test Cases: ratio between passed test cases and all test cases</t>
  </si>
  <si>
    <t>Explanation of the columns (for the possible values reference to the comments in the header of the table):</t>
  </si>
  <si>
    <t>Lines 5/6:</t>
  </si>
  <si>
    <t>QAC-Configuration: QAC configuration used in the static analysis.</t>
  </si>
  <si>
    <t>From column D to M: Automatic calculated consolidation of the values. Based on the values entered for each file a consolidation for each category is done automatically, so the responsible can follow the quality of the whole sub-component.</t>
  </si>
  <si>
    <t>Please do not overwrite the functions in cells from D6 to M6!</t>
  </si>
  <si>
    <t>From line 9 on:</t>
  </si>
  <si>
    <t>Sheet includes configuration for component status sheet fill tool.</t>
  </si>
  <si>
    <t>1) Header page</t>
  </si>
  <si>
    <t xml:space="preserve">2) SW Component Status </t>
  </si>
  <si>
    <t>3) Config</t>
  </si>
  <si>
    <t>4) Description</t>
  </si>
  <si>
    <t>(don't remove or add a line before this line)</t>
  </si>
  <si>
    <t>(don't remove or add a line after this line)</t>
  </si>
  <si>
    <t>Static Module Test Results path</t>
  </si>
  <si>
    <t>Comment Missing</t>
  </si>
  <si>
    <t>Mapping between 3rd Party SW Quality Levels and CSS Indicators</t>
  </si>
  <si>
    <t>Elektrobit</t>
  </si>
  <si>
    <t>Supplier</t>
  </si>
  <si>
    <t>Quality Level</t>
  </si>
  <si>
    <t>-</t>
  </si>
  <si>
    <t>0.85</t>
  </si>
  <si>
    <t>RFP (Ready for prototyping)</t>
  </si>
  <si>
    <t>RFD  (Ready for development)</t>
  </si>
  <si>
    <t>RFM  (Ready for manufacturing)</t>
  </si>
  <si>
    <t>Dynamic Unit Test, Dynamic Module Test Review: if dynamic unit test review is available</t>
  </si>
  <si>
    <r>
      <t xml:space="preserve">Comments: any necessary comments. </t>
    </r>
    <r>
      <rPr>
        <b/>
        <sz val="10"/>
        <rFont val="Arial"/>
        <family val="2"/>
      </rPr>
      <t>In case of value "NA" a comment is mandatory!</t>
    </r>
  </si>
  <si>
    <t>Note:</t>
  </si>
  <si>
    <t>In case of 3rd party software:</t>
  </si>
  <si>
    <t>Each component with EB ACG modules shall list following files in the CSS:</t>
  </si>
  <si>
    <t>Configuration.xdm</t>
  </si>
  <si>
    <t>ModifiedGeneratedFile.c</t>
  </si>
  <si>
    <t>Line 3 shall contain files (static or generated) which were modified afterwards. Full quality measures have to be applied</t>
  </si>
  <si>
    <t>Line 3 has to be repeated for each modified file.</t>
  </si>
  <si>
    <t>Column A</t>
  </si>
  <si>
    <t>Column B</t>
  </si>
  <si>
    <t>Column C</t>
  </si>
  <si>
    <t>&lt;Component name&gt; &lt;Delivery Version&gt; (&lt;Quality Level&gt;) (e.g. "Diagnostic Stack ACG 7.7 (RFD)")</t>
  </si>
  <si>
    <t>file version</t>
  </si>
  <si>
    <t>Column D-L</t>
  </si>
  <si>
    <t>04_Engineering\00_Projects\&lt;Project&gt;\&lt;Component Name&gt;\</t>
  </si>
  <si>
    <t>Values from Sheet "Mapping_3rd_Party_SW", according to the quality level</t>
  </si>
  <si>
    <t>Code / Configuration Review (Column H): 0, &lt;Review Id&gt;. Other columns "NA".</t>
  </si>
  <si>
    <t>Fully quality measures defined in the development process.</t>
  </si>
  <si>
    <t>Column M</t>
  </si>
  <si>
    <t>Configuration file.</t>
  </si>
  <si>
    <t>As defined in the column header.</t>
  </si>
  <si>
    <t>Line 2 shall contain the configuration-file. Only configuration review is needed, all other columns have to be set to "NA".</t>
  </si>
  <si>
    <t>3rd Party SW</t>
  </si>
  <si>
    <t>Static code and generated files (not modified ones) can be added, but we suggest not to list them.</t>
  </si>
  <si>
    <t>Line 1 shall contain the used f. ex. ACG version in the project and values shall be copied by selecting the quality level found in the "Mapping_3rd_Party_SW".</t>
  </si>
  <si>
    <t>&lt;Supplier&gt;</t>
  </si>
  <si>
    <t>&lt;Quality Level&gt;</t>
  </si>
  <si>
    <t>Note: This table can only be changed in agreement with the quality department.</t>
  </si>
  <si>
    <t>Jenkins build used</t>
  </si>
  <si>
    <t>CSS_JenkinsRun</t>
  </si>
  <si>
    <t>CSS_FileDefaultValues</t>
  </si>
  <si>
    <t>TBD</t>
  </si>
  <si>
    <t>Critical</t>
  </si>
  <si>
    <t>Mandatory</t>
  </si>
  <si>
    <t>Code Review</t>
  </si>
  <si>
    <t>QAC</t>
  </si>
  <si>
    <t>Unit Tests</t>
  </si>
  <si>
    <t>Config file requires Code Review only</t>
  </si>
  <si>
    <t>Status</t>
  </si>
  <si>
    <t>Date/time of last file list update</t>
  </si>
  <si>
    <t>Default values per file extension (for newly added files)</t>
  </si>
  <si>
    <t>No Unit Tests for header files</t>
  </si>
  <si>
    <t>No Unit Tests and QAC for assembler files</t>
  </si>
  <si>
    <t>.chm</t>
  </si>
  <si>
    <t>Documentation requires no QM</t>
  </si>
  <si>
    <t>Development drop</t>
  </si>
  <si>
    <t>Please do not overwrite the functions in cells from F7 and G7!</t>
  </si>
  <si>
    <t>F6</t>
  </si>
  <si>
    <t>F7</t>
  </si>
  <si>
    <t>G6</t>
  </si>
  <si>
    <t>G7</t>
  </si>
  <si>
    <t>Static Analysis QAC, critical: the number of the critical errors found for all files.</t>
  </si>
  <si>
    <t>Static Analysis QAC, critical: the number of the critical errors found for all files. If QAC was not performed for some/all files, value = "TBD".</t>
  </si>
  <si>
    <t>Static Analysis QAC, critical: the number of the mandatory warnings found for all files. If QAC was not performed for some/all files, value = "TBD".</t>
  </si>
  <si>
    <t>Static Analysis QAC, mandatory: the number of the mandatory warnings found for all files.</t>
  </si>
  <si>
    <t>Column/Cell</t>
  </si>
  <si>
    <t>Checkpoint used for file versions</t>
  </si>
  <si>
    <t>CSS_CheckpointUsed</t>
  </si>
  <si>
    <t>1.14.1</t>
  </si>
  <si>
    <t>HLA HeadLightAssist</t>
  </si>
  <si>
    <t>Tobias Schwarz</t>
  </si>
  <si>
    <t>/ADAS/SW/Components/HLA_HeadLightAssist/</t>
  </si>
  <si>
    <t>03_Design/02_Architecture/Generic/HLA</t>
  </si>
  <si>
    <t>03_Design/03_Code_Generation/Generic/HLA</t>
  </si>
  <si>
    <t>.xls</t>
  </si>
  <si>
    <t>03_Design\02_Architecture\Generic\HLA\</t>
  </si>
  <si>
    <t>hla_SDS.h</t>
  </si>
  <si>
    <t xml:space="preserve"> - No Unit Tests for header files</t>
  </si>
  <si>
    <t>03_Design\03_Code_Generation\Generic\HLA\</t>
  </si>
  <si>
    <t>hla_algo_interface_types.xls</t>
  </si>
  <si>
    <t>1.3</t>
  </si>
  <si>
    <t xml:space="preserve"> - No Unit Tests and QAC for assembler files</t>
  </si>
  <si>
    <t>04_Engineering\00_Projects\MFC431\HLA\sw_support\</t>
  </si>
  <si>
    <t>hla_cpar_init.c</t>
  </si>
  <si>
    <t>1.2</t>
  </si>
  <si>
    <t>/ADAS/SW/Components/HLA_HeadLightAssist/04_Engineering/00_Projects/MFC431/HLA/sw_support/hla_cpar_init.c</t>
  </si>
  <si>
    <t>hla_cpar_init.h</t>
  </si>
  <si>
    <t>/ADAS/SW/Components/HLA_HeadLightAssist/04_Engineering/00_Projects/MFC431/HLA/sw_support/hla_cpar_init.h</t>
  </si>
  <si>
    <t>04_Engineering\00_Projects\MFC431\HLA\</t>
  </si>
  <si>
    <t>hla_project_defs.h</t>
  </si>
  <si>
    <t>/ADAS/SW/Components/HLA_HeadLightAssist/04_Engineering/00_Projects/MFC431/HLA/hla_project_defs.h</t>
  </si>
  <si>
    <t>1.5</t>
  </si>
  <si>
    <t>1.4</t>
  </si>
  <si>
    <t>04_Engineering\01_Source_Code\HLA\function\</t>
  </si>
  <si>
    <t>hlaf.c</t>
  </si>
  <si>
    <t>/ADAS/SW/Components/HLA_HeadLightAssist/04_Engineering/01_Source_Code/HLA/function/hlaf.c</t>
  </si>
  <si>
    <t>hlaf_decision.c</t>
  </si>
  <si>
    <t>/ADAS/SW/Components/HLA_HeadLightAssist/04_Engineering/01_Source_Code/HLA/function/hlaf_decision.c</t>
  </si>
  <si>
    <t>hlaf_decision.h</t>
  </si>
  <si>
    <t>/ADAS/SW/Components/HLA_HeadLightAssist/04_Engineering/01_Source_Code/HLA/function/hlaf_decision.h</t>
  </si>
  <si>
    <t>hlaf_decision_blockage.c</t>
  </si>
  <si>
    <t>/ADAS/SW/Components/HLA_HeadLightAssist/04_Engineering/01_Source_Code/HLA/function/hlaf_decision_blockage.c</t>
  </si>
  <si>
    <t>hlaf_decision_blockage.h</t>
  </si>
  <si>
    <t>/ADAS/SW/Components/HLA_HeadLightAssist/04_Engineering/01_Source_Code/HLA/function/hlaf_decision_blockage.h</t>
  </si>
  <si>
    <t>hlaf_decision_environment.c</t>
  </si>
  <si>
    <t>/ADAS/SW/Components/HLA_HeadLightAssist/04_Engineering/01_Source_Code/HLA/function/hlaf_decision_environment.c</t>
  </si>
  <si>
    <t>hlaf_decision_environment.h</t>
  </si>
  <si>
    <t>/ADAS/SW/Components/HLA_HeadLightAssist/04_Engineering/01_Source_Code/HLA/function/hlaf_decision_environment.h</t>
  </si>
  <si>
    <t>hlaf_decision_keepoff.c</t>
  </si>
  <si>
    <t>/ADAS/SW/Components/HLA_HeadLightAssist/04_Engineering/01_Source_Code/HLA/function/hlaf_decision_keepoff.c</t>
  </si>
  <si>
    <t>hlaf_decision_keepoff.h</t>
  </si>
  <si>
    <t>/ADAS/SW/Components/HLA_HeadLightAssist/04_Engineering/01_Source_Code/HLA/function/hlaf_decision_keepoff.h</t>
  </si>
  <si>
    <t>hlaf_dimming.c</t>
  </si>
  <si>
    <t>/ADAS/SW/Components/HLA_HeadLightAssist/04_Engineering/01_Source_Code/HLA/function/hlaf_dimming.c</t>
  </si>
  <si>
    <t>hlaf_dimming.h</t>
  </si>
  <si>
    <t>/ADAS/SW/Components/HLA_HeadLightAssist/04_Engineering/01_Source_Code/HLA/function/hlaf_dimming.h</t>
  </si>
  <si>
    <t>hlaf_matrix.c</t>
  </si>
  <si>
    <t>/ADAS/SW/Components/HLA_HeadLightAssist/04_Engineering/01_Source_Code/HLA/function/hlaf_matrix.c</t>
  </si>
  <si>
    <t>hlaf_matrix.h</t>
  </si>
  <si>
    <t>/ADAS/SW/Components/HLA_HeadLightAssist/04_Engineering/01_Source_Code/HLA/function/hlaf_matrix.h</t>
  </si>
  <si>
    <t>hlaf_matrixgfa.c</t>
  </si>
  <si>
    <t>/ADAS/SW/Components/HLA_HeadLightAssist/04_Engineering/01_Source_Code/HLA/function/hlaf_matrixgfa.c</t>
  </si>
  <si>
    <t>hlaf_matrixgfa.h</t>
  </si>
  <si>
    <t>/ADAS/SW/Components/HLA_HeadLightAssist/04_Engineering/01_Source_Code/HLA/function/hlaf_matrixgfa.h</t>
  </si>
  <si>
    <t>hlaf_type.h</t>
  </si>
  <si>
    <t>/ADAS/SW/Components/HLA_HeadLightAssist/04_Engineering/01_Source_Code/HLA/function/hlaf_type.h</t>
  </si>
  <si>
    <t>04_Engineering\01_Source_Code\HLA\</t>
  </si>
  <si>
    <t>hla_cam_rot.c</t>
  </si>
  <si>
    <t>/ADAS/SW/Components/HLA_HeadLightAssist/04_Engineering/01_Source_Code/HLA/hla_cam_rot.c</t>
  </si>
  <si>
    <t>hla_cam_rot.h</t>
  </si>
  <si>
    <t>/ADAS/SW/Components/HLA_HeadLightAssist/04_Engineering/01_Source_Code/HLA/hla_cam_rot.h</t>
  </si>
  <si>
    <t>hla_defs.h</t>
  </si>
  <si>
    <t>/ADAS/SW/Components/HLA_HeadLightAssist/04_Engineering/01_Source_Code/HLA/hla_defs.h</t>
  </si>
  <si>
    <t>hla_errorhandling.c</t>
  </si>
  <si>
    <t>/ADAS/SW/Components/HLA_HeadLightAssist/04_Engineering/01_Source_Code/HLA/hla_errorhandling.c</t>
  </si>
  <si>
    <t>hla_errorhandling.h</t>
  </si>
  <si>
    <t>/ADAS/SW/Components/HLA_HeadLightAssist/04_Engineering/01_Source_Code/HLA/hla_errorhandling.h</t>
  </si>
  <si>
    <t>hla_measfreeze_data.h</t>
  </si>
  <si>
    <t>/ADAS/SW/Components/HLA_HeadLightAssist/04_Engineering/01_Source_Code/HLA/hla_measfreeze_data.h</t>
  </si>
  <si>
    <t>hla_rta_type.h</t>
  </si>
  <si>
    <t>/ADAS/SW/Components/HLA_HeadLightAssist/04_Engineering/01_Source_Code/HLA/hla_rta_type.h</t>
  </si>
  <si>
    <t>/ADAS/SW/Components/HLA_HeadLightAssist/04_Engineering/01_Source_Code/HLA/hla_SDS.h</t>
  </si>
  <si>
    <t>hla_utils.c</t>
  </si>
  <si>
    <t>/ADAS/SW/Components/HLA_HeadLightAssist/04_Engineering/01_Source_Code/HLA/hla_utils.c</t>
  </si>
  <si>
    <t>hla_utils.h</t>
  </si>
  <si>
    <t>/ADAS/SW/Components/HLA_HeadLightAssist/04_Engineering/01_Source_Code/HLA/hla_utils.h</t>
  </si>
  <si>
    <t>hla_ver.h</t>
  </si>
  <si>
    <t>/ADAS/SW/Components/HLA_HeadLightAssist/04_Engineering/01_Source_Code/HLA/hla_ver.h</t>
  </si>
  <si>
    <t>hlaf_ext.h</t>
  </si>
  <si>
    <t>/ADAS/SW/Components/HLA_HeadLightAssist/04_Engineering/01_Source_Code/HLA/hlaf_ext.h</t>
  </si>
  <si>
    <t>05_Testing/05_Test_Environment/Dynamic_Tests/HLA/Courage</t>
  </si>
  <si>
    <t>05_Testing\05_Test_Environment\Dynamic_Tests\HLA\Courage\</t>
  </si>
  <si>
    <t>test_hlaf_dimming.c</t>
  </si>
  <si>
    <t>test_hla_utils.c</t>
  </si>
  <si>
    <t>1.6</t>
  </si>
  <si>
    <t>05_Testing\05_Test_Environment\Dynamic_Tests\HLA\Courage\eh\</t>
  </si>
  <si>
    <t>test_hla_errorhandling.c</t>
  </si>
  <si>
    <t>/ADAS/SW/Components/HLA_HeadLightAssist/05_Testing/05_Test_Environment/Dynamic_Tests/HLA/Courage/eh/test_hla_errorhandling.c</t>
  </si>
  <si>
    <t>05_Testing\05_Test_Environment\Dynamic_Tests\HLA\Courage\function\decb\</t>
  </si>
  <si>
    <t>test_hlaf_decision_blockage.c</t>
  </si>
  <si>
    <t>/ADAS/SW/Components/HLA_HeadLightAssist/05_Testing/05_Test_Environment/Dynamic_Tests/HLA/Courage/function/decb/test_hlaf_decision_blockage.c</t>
  </si>
  <si>
    <t>05_Testing\05_Test_Environment\Dynamic_Tests\HLA\Courage\function\decko\</t>
  </si>
  <si>
    <t>test_hlaf_decision_keepoff.c</t>
  </si>
  <si>
    <t>/ADAS/SW/Components/HLA_HeadLightAssist/05_Testing/05_Test_Environment/Dynamic_Tests/HLA/Courage/function/decko/test_hlaf_decision_keepoff.c</t>
  </si>
  <si>
    <t>05_Testing\05_Test_Environment\Dynamic_Tests\HLA\Courage\function\dim\</t>
  </si>
  <si>
    <t>/ADAS/SW/Components/HLA_HeadLightAssist/05_Testing/05_Test_Environment/Dynamic_Tests/HLA/Courage/function/dim/test_hlaf_dimming.c</t>
  </si>
  <si>
    <t>05_Testing\05_Test_Environment\Dynamic_Tests\HLA\Courage\ut\</t>
  </si>
  <si>
    <t>/ADAS/SW/Components/HLA_HeadLightAssist/05_Testing/05_Test_Environment/Dynamic_Tests/HLA/Courage/ut/test_hla_utils.c</t>
  </si>
  <si>
    <t>05_Testing\05_Test_Environment\Dynamic_Tests\HLA\Courage\cr\</t>
  </si>
  <si>
    <t>test_hla_cam_rot.c</t>
  </si>
  <si>
    <t>/ADAS/SW/Components/HLA_HeadLightAssist/05_Testing/05_Test_Environment/Dynamic_Tests/HLA/Courage/cr/test_hla_cam_rot.c</t>
  </si>
  <si>
    <t>05_Testing\05_Test_Environment\Dynamic_Tests\HLA\Courage\function\dec\</t>
  </si>
  <si>
    <t>test_hlaf_decision.c</t>
  </si>
  <si>
    <t>/ADAS/SW/Components/HLA_HeadLightAssist/05_Testing/05_Test_Environment/Dynamic_Tests/HLA/Courage/function/dec/test_hlaf_decision.c</t>
  </si>
  <si>
    <t>05_Testing\05_Test_Environment\Dynamic_Tests\HLA\Courage\function\decen\</t>
  </si>
  <si>
    <t>test_hlaf_decision_environment.c</t>
  </si>
  <si>
    <t>/ADAS/SW/Components/HLA_HeadLightAssist/05_Testing/05_Test_Environment/Dynamic_Tests/HLA/Courage/function/decen/test_hlaf_decision_environment.c</t>
  </si>
  <si>
    <t>05_Testing\05_Test_Environment\Dynamic_Tests\HLA\Courage\function\hlaf\</t>
  </si>
  <si>
    <t>test_hlaf.c</t>
  </si>
  <si>
    <t>/ADAS/SW/Components/HLA_HeadLightAssist/05_Testing/05_Test_Environment/Dynamic_Tests/HLA/Courage/function/hlaf/test_hlaf.c</t>
  </si>
  <si>
    <t>1.8</t>
  </si>
  <si>
    <t>Continental_HLA_Design_Documentation.chm</t>
  </si>
  <si>
    <t>/ADAS/SW/Components/HLA_HeadLightAssist/03_Design/02_Architecture/Generic/HLA/Continental_HLA_Design_Documentation.chm</t>
  </si>
  <si>
    <t xml:space="preserve"> - Config file requires Code Review only</t>
  </si>
  <si>
    <t>Continental_HLA_Design_Documentation_SIL.chm</t>
  </si>
  <si>
    <t>/ADAS/SW/Components/HLA_HeadLightAssist/03_Design/02_Architecture/Generic/HLA/Continental_HLA_Design_Documentation_SIL.chm</t>
  </si>
  <si>
    <t>hla_pdo_tags_file.h</t>
  </si>
  <si>
    <t>/ADAS/SW/Components/HLA_HeadLightAssist/04_Engineering/01_Source_Code/HLA/hla_pdo_tags_file.h</t>
  </si>
  <si>
    <t>05_Testing\05_Test_Environment\Dynamic_Tests\HLA\Courage\function\mat\</t>
  </si>
  <si>
    <t>test_hlaf_matrix.c</t>
  </si>
  <si>
    <t>/ADAS/SW/Components/HLA_HeadLightAssist/05_Testing/05_Test_Environment/Dynamic_Tests/HLA/Courage/function/mat/test_hlaf_matrix.c</t>
  </si>
  <si>
    <t>05_Testing\05_Test_Environment\Dynamic_Tests\HLA\Courage\function\matgfa\</t>
  </si>
  <si>
    <t>test_hlaf_matrixgfa.c</t>
  </si>
  <si>
    <t>/ADAS/SW/Components/HLA_HeadLightAssist/05_Testing/05_Test_Environment/Dynamic_Tests/HLA/Courage/function/matgfa/test_hlaf_matrixgfa.c</t>
  </si>
  <si>
    <t>mockup_services.c</t>
  </si>
  <si>
    <t>/ADAS/SW/Components/HLA_HeadLightAssist/05_Testing/05_Test_Environment/Dynamic_Tests/HLA/Courage/mockup_services.c</t>
  </si>
  <si>
    <t>mockup_services.h</t>
  </si>
  <si>
    <t>/ADAS/SW/Components/HLA_HeadLightAssist/05_Testing/05_Test_Environment/Dynamic_Tests/HLA/Courage/mockup_services.h</t>
  </si>
  <si>
    <t>1.7</t>
  </si>
  <si>
    <t>hlaf_matrix_objects.c</t>
  </si>
  <si>
    <t>/ADAS/SW/Components/HLA_HeadLightAssist/04_Engineering/01_Source_Code/HLA/function/hlaf_matrix_objects.c</t>
  </si>
  <si>
    <t>hlaf_matrix_objects.h</t>
  </si>
  <si>
    <t>/ADAS/SW/Components/HLA_HeadLightAssist/04_Engineering/01_Source_Code/HLA/function/hlaf_matrix_objects.h</t>
  </si>
  <si>
    <t>05_Testing\05_Test_Environment\Dynamic_Tests\HLA\Courage\function\mato\</t>
  </si>
  <si>
    <t>test_hlaf_matrix_objects.c</t>
  </si>
  <si>
    <t>/ADAS/SW/Components/HLA_HeadLightAssist/05_Testing/05_Test_Environment/Dynamic_Tests/HLA/Courage/function/mato/test_hlaf_matrix_objects.c</t>
  </si>
  <si>
    <t>04_Engineering\00_Projects\MFC431\HLA\parameters\</t>
  </si>
  <si>
    <t>HLA_DecisionParameters.c</t>
  </si>
  <si>
    <t>/ADAS/SW/Components/HLA_HeadLightAssist/04_Engineering/00_Projects/MFC431/HLA/parameters/HLA_DecisionParameters.c</t>
  </si>
  <si>
    <t>HLA_DecisionParameters.h</t>
  </si>
  <si>
    <t>/ADAS/SW/Components/HLA_HeadLightAssist/04_Engineering/00_Projects/MFC431/HLA/parameters/HLA_DecisionParameters.h</t>
  </si>
  <si>
    <t>HLA_MatrixParameters.c</t>
  </si>
  <si>
    <t>/ADAS/SW/Components/HLA_HeadLightAssist/04_Engineering/00_Projects/MFC431/HLA/parameters/HLA_MatrixParameters.c</t>
  </si>
  <si>
    <t>HLA_MatrixParameters.h</t>
  </si>
  <si>
    <t>/ADAS/SW/Components/HLA_HeadLightAssist/04_Engineering/00_Projects/MFC431/HLA/parameters/HLA_MatrixParameters.h</t>
  </si>
  <si>
    <t>http://adas-jenkins-nightly:8080/view/Mainstream_QAC/job/MFC431_Nightly_DPU_Static_Test/</t>
  </si>
  <si>
    <t>1.10</t>
  </si>
  <si>
    <t>04_Engineering\00_Projects\MFC431LO19\HLA\parameters\</t>
  </si>
  <si>
    <t>04_Engineering\00_Projects\MFC431LO19\HLA\sw_support\</t>
  </si>
  <si>
    <t>04_Engineering\00_Projects\MFC431LO19\HLA\</t>
  </si>
  <si>
    <t>1.12</t>
  </si>
  <si>
    <t>1.9</t>
  </si>
  <si>
    <t>04_Engineering\01_Source_Code\HLA\frame\</t>
  </si>
  <si>
    <t>hla_input_checks.c</t>
  </si>
  <si>
    <t>/ADAS/SW/Components/HLA_HeadLightAssist/04_Engineering/01_Source_Code/HLA/frame/hla_input_checks.c</t>
  </si>
  <si>
    <t>hla_input_checks.h</t>
  </si>
  <si>
    <t>/ADAS/SW/Components/HLA_HeadLightAssist/04_Engineering/01_Source_Code/HLA/frame/hla_input_checks.h</t>
  </si>
  <si>
    <t>hla_main.c</t>
  </si>
  <si>
    <t>/ADAS/SW/Components/HLA_HeadLightAssist/04_Engineering/01_Source_Code/HLA/frame/hla_main.c</t>
  </si>
  <si>
    <t>hla_main.h</t>
  </si>
  <si>
    <t>/ADAS/SW/Components/HLA_HeadLightAssist/04_Engineering/01_Source_Code/HLA/frame/hla_main.h</t>
  </si>
  <si>
    <t>hla_output_checks.c</t>
  </si>
  <si>
    <t>/ADAS/SW/Components/HLA_HeadLightAssist/04_Engineering/01_Source_Code/HLA/frame/hla_output_checks.c</t>
  </si>
  <si>
    <t>hla_output_checks.h</t>
  </si>
  <si>
    <t>/ADAS/SW/Components/HLA_HeadLightAssist/04_Engineering/01_Source_Code/HLA/frame/hla_output_checks.h</t>
  </si>
  <si>
    <t>hla_outputs.c</t>
  </si>
  <si>
    <t>/ADAS/SW/Components/HLA_HeadLightAssist/04_Engineering/01_Source_Code/HLA/frame/hla_outputs.c</t>
  </si>
  <si>
    <t>hla_outputs.h</t>
  </si>
  <si>
    <t>/ADAS/SW/Components/HLA_HeadLightAssist/04_Engineering/01_Source_Code/HLA/frame/hla_outputs.h</t>
  </si>
  <si>
    <t>05_Testing\05_Test_Environment\Dynamic_Tests\HLA\Courage\frame\inc\</t>
  </si>
  <si>
    <t>test_hla_input_checks.c</t>
  </si>
  <si>
    <t>/ADAS/SW/Components/HLA_HeadLightAssist/05_Testing/05_Test_Environment/Dynamic_Tests/HLA/Courage/frame/inc/test_hla_input_checks.c</t>
  </si>
  <si>
    <t>05_Testing\05_Test_Environment\Dynamic_Tests\HLA\Courage\frame\main\</t>
  </si>
  <si>
    <t>test_hla_main.c</t>
  </si>
  <si>
    <t>/ADAS/SW/Components/HLA_HeadLightAssist/05_Testing/05_Test_Environment/Dynamic_Tests/HLA/Courage/frame/main/test_hla_main.c</t>
  </si>
  <si>
    <t>05_Testing\05_Test_Environment\Dynamic_Tests\HLA\Courage\frame\outc\</t>
  </si>
  <si>
    <t>test_hla_output_checks.c</t>
  </si>
  <si>
    <t>/ADAS/SW/Components/HLA_HeadLightAssist/05_Testing/05_Test_Environment/Dynamic_Tests/HLA/Courage/frame/outc/test_hla_output_checks.c</t>
  </si>
  <si>
    <t>05_Testing\05_Test_Environment\Dynamic_Tests\HLA\Courage\frame\outp\</t>
  </si>
  <si>
    <t>test_hla_outputs.c</t>
  </si>
  <si>
    <t>/ADAS/SW/Components/HLA_HeadLightAssist/05_Testing/05_Test_Environment/Dynamic_Tests/HLA/Courage/frame/outp/test_hla_outputs.c</t>
  </si>
  <si>
    <t>04_Engineering\00_Projects\MFC431SC19\HLA\parameters\</t>
  </si>
  <si>
    <t>04_Engineering\00_Projects\MFC431SC19\HLA\sw_support\</t>
  </si>
  <si>
    <t>04_Engineering\00_Projects\MFC431SC19\HLA\</t>
  </si>
  <si>
    <t>1.14</t>
  </si>
  <si>
    <t>1.11</t>
  </si>
  <si>
    <t>04_Engineering\00_Projects\MFC431SW19\HLA\parameters\</t>
  </si>
  <si>
    <t>04_Engineering\00_Projects\MFC431SW19\HLA\sw_support\</t>
  </si>
  <si>
    <t>04_Engineering\00_Projects\MFC431SW19\HLA\</t>
  </si>
  <si>
    <t>/ADAS/SW/Architecture/03_Design/03_Code_Generation/Generic/GA/hla_algo_interface_types.xls</t>
  </si>
  <si>
    <t>1.15</t>
  </si>
  <si>
    <t>1.13</t>
  </si>
  <si>
    <t>1.11.1.1</t>
  </si>
  <si>
    <t>04_Engineering\00_Projects\MFC431VA10\HLA\parameters\</t>
  </si>
  <si>
    <t>04_Engineering\00_Projects\MFC431VA10\HLA\sw_support\</t>
  </si>
  <si>
    <t>04_Engineering\00_Projects\MFC431VA10\HLA\</t>
  </si>
  <si>
    <t>SW_HLA_06.39.00</t>
  </si>
  <si>
    <t>1.10.1.1</t>
  </si>
  <si>
    <t>1.8.1.1</t>
  </si>
  <si>
    <t>1.8.2.1</t>
  </si>
  <si>
    <t>1.8.3.1</t>
  </si>
  <si>
    <t>1.8.4.1</t>
  </si>
  <si>
    <t>1.15.1.1</t>
  </si>
  <si>
    <t>1.13.1.3</t>
  </si>
  <si>
    <t>1.32.1.1</t>
  </si>
  <si>
    <t>1.13.1.1</t>
  </si>
  <si>
    <t>1.26</t>
  </si>
  <si>
    <t>1.17</t>
  </si>
  <si>
    <t>Static 
Analysis QAF</t>
  </si>
  <si>
    <t>QAF Version</t>
  </si>
  <si>
    <t>2.3.0</t>
  </si>
  <si>
    <t>MFC431 Family Branch</t>
  </si>
  <si>
    <t>QAF Config</t>
  </si>
  <si>
    <t>1.22.1.3</t>
  </si>
  <si>
    <t>1.13.1.2</t>
  </si>
  <si>
    <t>1.23.1.1</t>
  </si>
  <si>
    <t>1.15.1.2</t>
  </si>
  <si>
    <t>1.9.2.1</t>
  </si>
  <si>
    <t>04_Engineering\00_Projects\MFC431BD10\HLA\parameters\</t>
  </si>
  <si>
    <t>04_Engineering\00_Projects\MFC431BD10\HLA\sw_support\</t>
  </si>
  <si>
    <t>04_Engineering\00_Projects\MFC431BD10\HLA\</t>
  </si>
  <si>
    <t>1.8.8.1</t>
  </si>
  <si>
    <t>04_Engineering\00_Projects\MFC431LO20\HLA\parameters\</t>
  </si>
  <si>
    <t>04_Engineering\00_Projects\MFC431LO20\HLA\sw_support\</t>
  </si>
  <si>
    <t>1.8.9.1</t>
  </si>
  <si>
    <t>04_Engineering\00_Projects\MFC431LO20\HLA\</t>
  </si>
  <si>
    <t>1.10.2.2</t>
  </si>
  <si>
    <t>1.22.2.3</t>
  </si>
  <si>
    <t>04_Engineering\00_Projects\MFC431VA21\HLA\parameters\</t>
  </si>
  <si>
    <t>File has been added</t>
  </si>
  <si>
    <t>04_Engineering\00_Projects\MFC431VA21\HLA\sw_support\</t>
  </si>
  <si>
    <t>04_Engineering\00_Projects\MFC431VA21\HLA\</t>
  </si>
  <si>
    <t>1.8.10.1</t>
  </si>
  <si>
    <t>File version updated from '1.10.1.2' to '1.10.1.3'</t>
  </si>
  <si>
    <t>1.10.1.3</t>
  </si>
  <si>
    <t>File version updated from '1.11' to '1.11.3.1'</t>
  </si>
  <si>
    <t>1.11.3.1</t>
  </si>
  <si>
    <t>File version updated from '1.11.2.1' to '1.11.2.2'</t>
  </si>
  <si>
    <t>1.11.2.2</t>
  </si>
  <si>
    <t>File version updated from '1.11.1.1' to '1.11.1.2'</t>
  </si>
  <si>
    <t>1.11.1.2</t>
  </si>
  <si>
    <t>File has been added, File version updated from '1.11.2.1' to '1.11.2.2'</t>
  </si>
  <si>
    <t>File version updated from '1.8' to '1.9'</t>
  </si>
  <si>
    <t>File version updated from '1.25.1.1' to '1.25.1.2'</t>
  </si>
  <si>
    <t>1.25.1.2</t>
  </si>
  <si>
    <t>File version updated from '1.13' to '1.13.1.1'</t>
  </si>
  <si>
    <t>File version updated from '1.11.1.1' to '1.11.1.2', File version updated from '1.11.1.2' to '1.11.1.3'</t>
  </si>
  <si>
    <t>1.11.1.3</t>
  </si>
  <si>
    <t>Trunk (17.08.2021 00:00:00)</t>
  </si>
  <si>
    <t>04_Engineering\00_Projects\MFC431LO30\HLA\parameters\</t>
  </si>
  <si>
    <t>04_Engineering\00_Projects\MFC431LO30\HLA\sw_support\</t>
  </si>
  <si>
    <t>04_Engineering\00_Projects\MFC431LO30\HLA\</t>
  </si>
  <si>
    <t>1.8.11.1</t>
  </si>
  <si>
    <t>File version updated from '1.10.2.2' to '1.10.2.3'</t>
  </si>
  <si>
    <t>1.10.2.3</t>
  </si>
  <si>
    <t>File version updated from '1.41.1.5' to '1.41.1.6', File version updated from '1.41.1.6' to '1.41.1.7', File version updated from '1.41.1.7' to '1.41.1.8', File version updated from '1.41.1.8' to '1.41.1.9', File version updated from '1.41.1.9' to '1.41.1.10', File version updated from '1.41.1.10' to '1.41.1.11'</t>
  </si>
  <si>
    <t>1.41.1.11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</si>
</sst>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_(&quot;$&quot;* #,##0.00_);_(&quot;$&quot;* \(#,##0.00\);_(&quot;$&quot;* &quot;-&quot;??_);_(@_)"/>
    <numFmt numFmtId="166" formatCode="_(* #,##0.00_);_(* \(#,##0.00\);_(* &quot;-&quot;??_);_(@_)"/>
  </numFmts>
  <fonts count="4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4"/>
      <name val="Arial"/>
      <family val="2"/>
    </font>
    <font>
      <b/>
      <sz val="12"/>
      <name val="Arial"/>
      <family val="2"/>
    </font>
    <font>
      <sz val="12"/>
      <name val="Arial"/>
      <family val="2"/>
    </font>
    <font>
      <sz val="10"/>
      <name val="Arial"/>
      <family val="2"/>
    </font>
    <font>
      <b/>
      <sz val="20"/>
      <name val="Arial"/>
      <family val="2"/>
    </font>
    <font>
      <b/>
      <i/>
      <sz val="20"/>
      <color indexed="12"/>
      <name val="Arial"/>
      <family val="2"/>
    </font>
    <font>
      <sz val="8"/>
      <name val="Arial"/>
      <family val="2"/>
    </font>
    <font>
      <sz val="10"/>
      <color indexed="8"/>
      <name val="Arial"/>
      <family val="2"/>
    </font>
    <font>
      <sz val="10"/>
      <color indexed="12"/>
      <name val="Arial"/>
      <family val="2"/>
    </font>
    <font>
      <sz val="10"/>
      <color indexed="12"/>
      <name val="Arial"/>
      <family val="2"/>
    </font>
    <font>
      <sz val="9"/>
      <color indexed="81"/>
      <name val="Tahoma"/>
      <family val="2"/>
    </font>
    <font>
      <sz val="9"/>
      <color theme="1"/>
      <name val="Calibri"/>
      <family val="2"/>
      <scheme val="minor"/>
    </font>
    <font>
      <u/>
      <sz val="10"/>
      <color theme="10"/>
      <name val="Arial"/>
      <family val="2"/>
    </font>
    <font>
      <b/>
      <sz val="9"/>
      <color indexed="81"/>
      <name val="Tahoma"/>
      <family val="2"/>
    </font>
    <font>
      <u/>
      <sz val="9.35"/>
      <color theme="10"/>
      <name val="Calibri"/>
      <family val="2"/>
    </font>
    <font>
      <b/>
      <sz val="10"/>
      <color rgb="FFFF0000"/>
      <name val="Arial"/>
      <family val="2"/>
    </font>
    <font>
      <b/>
      <u/>
      <sz val="9"/>
      <color indexed="81"/>
      <name val="Tahoma"/>
      <family val="2"/>
    </font>
    <font>
      <b/>
      <sz val="8"/>
      <name val="Arial"/>
      <family val="2"/>
    </font>
    <font>
      <sz val="9"/>
      <name val="Calibri"/>
      <family val="2"/>
      <scheme val="minor"/>
    </font>
    <font>
      <b/>
      <sz val="11"/>
      <color theme="1"/>
      <name val="Calibri"/>
      <family val="2"/>
      <scheme val="minor"/>
    </font>
    <font>
      <b/>
      <sz val="16"/>
      <color theme="1"/>
      <name val="Calibri"/>
      <family val="2"/>
      <scheme val="minor"/>
    </font>
    <font>
      <sz val="10"/>
      <color rgb="FFFF0000"/>
      <name val="Arial"/>
      <family val="2"/>
    </font>
    <font>
      <u/>
      <sz val="10"/>
      <color theme="10"/>
      <name val="Arial"/>
      <family val="2"/>
    </font>
    <font>
      <b/>
      <u/>
      <sz val="10"/>
      <name val="Arial"/>
      <family val="2"/>
    </font>
    <font>
      <sz val="11"/>
      <name val="Arial"/>
      <family val="2"/>
    </font>
    <font>
      <b/>
      <sz val="9"/>
      <color indexed="81"/>
      <name val="Segoe UI"/>
      <charset val="1"/>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26"/>
        <bgColor indexed="64"/>
      </patternFill>
    </fill>
    <fill>
      <patternFill patternType="solid">
        <fgColor theme="0"/>
        <bgColor indexed="64"/>
      </patternFill>
    </fill>
    <fill>
      <patternFill patternType="solid">
        <fgColor rgb="FFCCFFFF"/>
        <bgColor indexed="64"/>
      </patternFill>
    </fill>
    <fill>
      <patternFill patternType="solid">
        <fgColor theme="0" tint="-0.249977111117893"/>
        <bgColor indexed="64"/>
      </patternFill>
    </fill>
    <fill>
      <patternFill patternType="solid">
        <fgColor rgb="FFCDFFFF"/>
        <bgColor indexed="64"/>
      </patternFill>
    </fill>
    <fill>
      <patternFill patternType="solid">
        <fgColor theme="9" tint="0.79998168889431442"/>
        <bgColor indexed="64"/>
      </patternFill>
    </fill>
    <fill>
      <patternFill patternType="solid">
        <fgColor rgb="FF007F00"/>
        <bgColor indexed="64"/>
      </patternFill>
    </fill>
  </fills>
  <borders count="52">
    <border>
      <left/>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s>
  <cellStyleXfs count="105">
    <xf numFmtId="0" fontId="0" fillId="0" borderId="0"/>
    <xf numFmtId="0" fontId="13" fillId="0" borderId="0"/>
    <xf numFmtId="0" fontId="26" fillId="0" borderId="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5" fontId="13" fillId="0" borderId="0" applyFont="0" applyFill="0" applyBorder="0" applyAlignment="0" applyProtection="0"/>
    <xf numFmtId="165" fontId="13" fillId="0" borderId="0" applyFont="0" applyFill="0" applyBorder="0" applyAlignment="0" applyProtection="0"/>
    <xf numFmtId="165" fontId="13" fillId="0" borderId="0" applyFont="0" applyFill="0" applyBorder="0" applyAlignment="0" applyProtection="0"/>
    <xf numFmtId="165" fontId="13" fillId="0" borderId="0" applyFont="0" applyFill="0" applyBorder="0" applyAlignment="0" applyProtection="0"/>
    <xf numFmtId="0" fontId="27" fillId="0" borderId="0" applyNumberFormat="0" applyFill="0" applyBorder="0" applyAlignment="0" applyProtection="0">
      <alignment vertical="top"/>
      <protection locked="0"/>
    </xf>
    <xf numFmtId="0" fontId="13" fillId="0" borderId="0"/>
    <xf numFmtId="0" fontId="13" fillId="0" borderId="0"/>
    <xf numFmtId="0" fontId="13" fillId="0" borderId="0"/>
    <xf numFmtId="0" fontId="13" fillId="0" borderId="0"/>
    <xf numFmtId="0" fontId="12" fillId="0" borderId="0"/>
    <xf numFmtId="0" fontId="13" fillId="0" borderId="0"/>
    <xf numFmtId="0" fontId="13" fillId="0" borderId="0"/>
    <xf numFmtId="0" fontId="12"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1" fillId="0" borderId="0"/>
    <xf numFmtId="0" fontId="13" fillId="0" borderId="0"/>
    <xf numFmtId="9" fontId="13" fillId="0" borderId="0" applyFont="0" applyFill="0" applyBorder="0" applyAlignment="0" applyProtection="0"/>
    <xf numFmtId="165" fontId="13" fillId="0" borderId="0" applyFont="0" applyFill="0" applyBorder="0" applyAlignment="0" applyProtection="0"/>
    <xf numFmtId="166" fontId="13" fillId="0" borderId="0" applyFont="0" applyFill="0" applyBorder="0" applyAlignment="0" applyProtection="0"/>
    <xf numFmtId="0" fontId="11" fillId="0" borderId="0"/>
    <xf numFmtId="0" fontId="11" fillId="0" borderId="0"/>
    <xf numFmtId="0" fontId="10" fillId="0" borderId="0"/>
    <xf numFmtId="0" fontId="10" fillId="0" borderId="0"/>
    <xf numFmtId="9" fontId="10" fillId="0" borderId="0" applyFont="0" applyFill="0" applyBorder="0" applyAlignment="0" applyProtection="0"/>
    <xf numFmtId="0" fontId="29" fillId="0" borderId="0" applyNumberFormat="0" applyFill="0" applyBorder="0" applyAlignment="0" applyProtection="0">
      <alignment vertical="top"/>
      <protection locked="0"/>
    </xf>
    <xf numFmtId="0" fontId="10" fillId="0" borderId="0"/>
    <xf numFmtId="166" fontId="26" fillId="0" borderId="0" applyFont="0" applyFill="0" applyBorder="0" applyAlignment="0" applyProtection="0"/>
    <xf numFmtId="9" fontId="13" fillId="0" borderId="0" applyFont="0" applyFill="0" applyBorder="0" applyAlignment="0" applyProtection="0"/>
    <xf numFmtId="165" fontId="13"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9" fontId="9" fillId="0" borderId="0" applyFont="0" applyFill="0" applyBorder="0" applyAlignment="0" applyProtection="0"/>
    <xf numFmtId="0" fontId="9"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0" fontId="8" fillId="0" borderId="0"/>
    <xf numFmtId="164" fontId="13"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0" fontId="7" fillId="0" borderId="0"/>
    <xf numFmtId="0" fontId="6" fillId="0" borderId="0"/>
    <xf numFmtId="0" fontId="37" fillId="0" borderId="0" applyNumberFormat="0" applyFill="0" applyBorder="0" applyAlignment="0" applyProtection="0"/>
  </cellStyleXfs>
  <cellXfs count="262">
    <xf numFmtId="0" fontId="0" fillId="0" borderId="0" xfId="0"/>
    <xf numFmtId="0" fontId="16" fillId="0" borderId="0" xfId="0" applyFont="1" applyAlignment="1">
      <alignment wrapText="1"/>
    </xf>
    <xf numFmtId="0" fontId="16" fillId="0" borderId="0" xfId="0" applyFont="1"/>
    <xf numFmtId="0" fontId="17" fillId="0" borderId="0" xfId="0" applyFont="1"/>
    <xf numFmtId="0" fontId="0" fillId="0" borderId="0" xfId="0" applyBorder="1" applyAlignment="1">
      <alignment vertical="top"/>
    </xf>
    <xf numFmtId="0" fontId="14" fillId="0" borderId="0" xfId="0" applyFont="1"/>
    <xf numFmtId="0" fontId="0" fillId="0" borderId="0" xfId="0" applyBorder="1"/>
    <xf numFmtId="0" fontId="14" fillId="0" borderId="0" xfId="0" applyFont="1" applyAlignment="1"/>
    <xf numFmtId="0" fontId="15" fillId="0" borderId="0" xfId="0" applyFont="1" applyBorder="1"/>
    <xf numFmtId="0" fontId="16" fillId="0" borderId="0" xfId="0" applyFont="1" applyBorder="1" applyAlignment="1">
      <alignment horizontal="center"/>
    </xf>
    <xf numFmtId="0" fontId="14" fillId="0" borderId="0" xfId="0" applyFont="1" applyBorder="1" applyAlignment="1">
      <alignment horizontal="center" vertical="center"/>
    </xf>
    <xf numFmtId="0" fontId="20" fillId="0" borderId="0" xfId="0" applyFont="1" applyAlignment="1">
      <alignment horizontal="center"/>
    </xf>
    <xf numFmtId="0" fontId="18" fillId="0" borderId="0" xfId="0" applyFont="1"/>
    <xf numFmtId="0" fontId="0" fillId="0" borderId="0" xfId="0" applyFill="1"/>
    <xf numFmtId="0" fontId="16" fillId="0" borderId="0" xfId="0" applyNumberFormat="1" applyFont="1" applyAlignment="1">
      <alignment wrapText="1"/>
    </xf>
    <xf numFmtId="0" fontId="14" fillId="0" borderId="0" xfId="0" applyFont="1" applyFill="1"/>
    <xf numFmtId="0" fontId="13" fillId="0" borderId="0" xfId="0" applyFont="1"/>
    <xf numFmtId="49" fontId="0" fillId="0" borderId="0" xfId="0" applyNumberFormat="1" applyAlignment="1"/>
    <xf numFmtId="0" fontId="14" fillId="0" borderId="9" xfId="0" applyFont="1" applyBorder="1" applyAlignment="1" applyProtection="1">
      <alignment horizontal="center" vertical="center" wrapText="1"/>
    </xf>
    <xf numFmtId="0" fontId="13" fillId="0" borderId="0" xfId="0" applyFont="1" applyFill="1" applyAlignment="1"/>
    <xf numFmtId="0" fontId="16" fillId="0" borderId="6" xfId="0" applyFont="1" applyBorder="1" applyAlignment="1">
      <alignment horizontal="center" vertical="center"/>
    </xf>
    <xf numFmtId="0" fontId="0" fillId="0" borderId="0" xfId="0" applyAlignment="1"/>
    <xf numFmtId="0" fontId="14" fillId="0" borderId="0" xfId="0" applyFont="1" applyBorder="1" applyAlignment="1">
      <alignment wrapText="1"/>
    </xf>
    <xf numFmtId="0" fontId="14" fillId="0" borderId="0" xfId="0" applyFont="1" applyBorder="1" applyAlignment="1"/>
    <xf numFmtId="0" fontId="14" fillId="0" borderId="0" xfId="0" applyFont="1" applyFill="1" applyBorder="1" applyAlignment="1">
      <alignment wrapText="1"/>
    </xf>
    <xf numFmtId="49" fontId="14" fillId="0" borderId="0" xfId="0" applyNumberFormat="1" applyFont="1" applyFill="1" applyBorder="1" applyAlignment="1"/>
    <xf numFmtId="49" fontId="14" fillId="0" borderId="0" xfId="0" applyNumberFormat="1" applyFont="1" applyAlignment="1"/>
    <xf numFmtId="49" fontId="13" fillId="0" borderId="0" xfId="0" applyNumberFormat="1" applyFont="1" applyFill="1" applyBorder="1" applyAlignment="1"/>
    <xf numFmtId="49" fontId="14" fillId="0" borderId="0" xfId="25" applyNumberFormat="1" applyFont="1" applyBorder="1" applyAlignment="1">
      <alignment horizontal="left" vertical="top"/>
    </xf>
    <xf numFmtId="49" fontId="13" fillId="0" borderId="0" xfId="0" applyNumberFormat="1" applyFont="1" applyAlignment="1"/>
    <xf numFmtId="49" fontId="13" fillId="0" borderId="0" xfId="0" applyNumberFormat="1" applyFont="1" applyBorder="1" applyAlignment="1"/>
    <xf numFmtId="49" fontId="14" fillId="0" borderId="0" xfId="0" applyNumberFormat="1" applyFont="1" applyBorder="1" applyAlignment="1"/>
    <xf numFmtId="0" fontId="14" fillId="0" borderId="0" xfId="0" applyFont="1" applyFill="1" applyBorder="1" applyAlignment="1"/>
    <xf numFmtId="0" fontId="30" fillId="0" borderId="0" xfId="0" applyFont="1"/>
    <xf numFmtId="0" fontId="14" fillId="0" borderId="14" xfId="0" applyFont="1" applyBorder="1" applyAlignment="1" applyProtection="1">
      <alignment horizontal="center" vertical="center" wrapText="1"/>
    </xf>
    <xf numFmtId="0" fontId="0" fillId="0" borderId="0" xfId="0"/>
    <xf numFmtId="0" fontId="0" fillId="0" borderId="0" xfId="0" applyProtection="1">
      <protection locked="0"/>
    </xf>
    <xf numFmtId="0" fontId="16" fillId="0" borderId="0" xfId="0" applyFont="1" applyFill="1"/>
    <xf numFmtId="0" fontId="0" fillId="3" borderId="1" xfId="0" applyFill="1" applyBorder="1"/>
    <xf numFmtId="0" fontId="0" fillId="3" borderId="2" xfId="0" applyFill="1" applyBorder="1"/>
    <xf numFmtId="0" fontId="14" fillId="6" borderId="1" xfId="0" applyFont="1" applyFill="1" applyBorder="1"/>
    <xf numFmtId="0" fontId="16" fillId="0" borderId="7" xfId="0" applyFont="1" applyBorder="1" applyAlignment="1" applyProtection="1">
      <alignment horizontal="center"/>
      <protection locked="0"/>
    </xf>
    <xf numFmtId="0" fontId="23" fillId="6" borderId="2" xfId="0" applyFont="1" applyFill="1" applyBorder="1"/>
    <xf numFmtId="0" fontId="23" fillId="7" borderId="3" xfId="0" applyFont="1" applyFill="1" applyBorder="1"/>
    <xf numFmtId="0" fontId="13" fillId="8" borderId="7" xfId="0" applyFont="1" applyFill="1" applyBorder="1"/>
    <xf numFmtId="0" fontId="0" fillId="3" borderId="5" xfId="0" applyFill="1" applyBorder="1"/>
    <xf numFmtId="0" fontId="15" fillId="3" borderId="4" xfId="0" applyFont="1" applyFill="1" applyBorder="1"/>
    <xf numFmtId="49" fontId="22" fillId="4" borderId="15" xfId="0" applyNumberFormat="1" applyFont="1" applyFill="1" applyBorder="1" applyAlignment="1" applyProtection="1">
      <alignment horizontal="center" vertical="center"/>
      <protection locked="0"/>
    </xf>
    <xf numFmtId="0" fontId="14" fillId="0" borderId="18" xfId="0" applyFont="1" applyFill="1" applyBorder="1" applyAlignment="1" applyProtection="1">
      <alignment horizontal="center" vertical="center" wrapText="1"/>
    </xf>
    <xf numFmtId="0" fontId="32" fillId="2" borderId="6" xfId="0" applyFont="1" applyFill="1" applyBorder="1" applyAlignment="1">
      <alignment horizontal="center" vertical="center"/>
    </xf>
    <xf numFmtId="0" fontId="14" fillId="0" borderId="18" xfId="66" applyNumberFormat="1" applyFont="1" applyBorder="1" applyAlignment="1" applyProtection="1">
      <alignment horizontal="center" vertical="center" wrapText="1"/>
    </xf>
    <xf numFmtId="0" fontId="22" fillId="4" borderId="15" xfId="0" applyFont="1" applyFill="1" applyBorder="1" applyAlignment="1" applyProtection="1">
      <alignment horizontal="center" vertical="center"/>
      <protection locked="0"/>
    </xf>
    <xf numFmtId="0" fontId="14" fillId="0" borderId="22" xfId="0" applyFont="1" applyBorder="1" applyAlignment="1" applyProtection="1">
      <alignment horizontal="center" vertical="center" wrapText="1"/>
    </xf>
    <xf numFmtId="0" fontId="14" fillId="0" borderId="18" xfId="0" applyNumberFormat="1" applyFont="1" applyBorder="1" applyAlignment="1" applyProtection="1">
      <alignment horizontal="center" vertical="center" wrapText="1"/>
    </xf>
    <xf numFmtId="0" fontId="22" fillId="4" borderId="15" xfId="0" applyNumberFormat="1" applyFont="1" applyFill="1" applyBorder="1" applyAlignment="1" applyProtection="1">
      <alignment horizontal="center" vertical="center"/>
      <protection locked="0"/>
    </xf>
    <xf numFmtId="0" fontId="22" fillId="9" borderId="15" xfId="0" applyFont="1" applyFill="1" applyBorder="1" applyAlignment="1" applyProtection="1">
      <alignment horizontal="center" vertical="center"/>
      <protection locked="0"/>
    </xf>
    <xf numFmtId="0" fontId="14" fillId="0" borderId="18" xfId="0" applyFont="1" applyBorder="1" applyAlignment="1" applyProtection="1">
      <alignment horizontal="center" vertical="center" wrapText="1"/>
    </xf>
    <xf numFmtId="0" fontId="0" fillId="0" borderId="1" xfId="0" applyBorder="1" applyProtection="1">
      <protection locked="0"/>
    </xf>
    <xf numFmtId="0" fontId="0" fillId="0" borderId="5" xfId="0" applyBorder="1" applyProtection="1">
      <protection locked="0"/>
    </xf>
    <xf numFmtId="0" fontId="0" fillId="0" borderId="5" xfId="0" applyBorder="1" applyAlignment="1" applyProtection="1">
      <alignment horizontal="center"/>
      <protection locked="0"/>
    </xf>
    <xf numFmtId="0" fontId="0" fillId="0" borderId="0" xfId="0" applyAlignment="1" applyProtection="1">
      <alignment horizontal="center"/>
      <protection locked="0"/>
    </xf>
    <xf numFmtId="0" fontId="21" fillId="0" borderId="0" xfId="0" applyFont="1" applyProtection="1">
      <protection locked="0"/>
    </xf>
    <xf numFmtId="0" fontId="16" fillId="0" borderId="3" xfId="0" applyFont="1" applyBorder="1" applyAlignment="1" applyProtection="1">
      <alignment horizontal="center" wrapText="1"/>
      <protection locked="0"/>
    </xf>
    <xf numFmtId="0" fontId="16" fillId="0" borderId="0" xfId="0" applyFont="1" applyBorder="1" applyAlignment="1" applyProtection="1">
      <alignment horizontal="center" vertical="center"/>
      <protection locked="0"/>
    </xf>
    <xf numFmtId="0" fontId="14" fillId="6" borderId="1" xfId="0" applyFont="1" applyFill="1" applyBorder="1" applyProtection="1">
      <protection locked="0"/>
    </xf>
    <xf numFmtId="0" fontId="23" fillId="7" borderId="3" xfId="0" applyFont="1" applyFill="1" applyBorder="1" applyProtection="1">
      <protection locked="0"/>
    </xf>
    <xf numFmtId="0" fontId="23" fillId="6" borderId="2" xfId="0" applyFont="1" applyFill="1" applyBorder="1" applyProtection="1">
      <protection locked="0"/>
    </xf>
    <xf numFmtId="0" fontId="13" fillId="8" borderId="7" xfId="0" applyFont="1" applyFill="1" applyBorder="1" applyProtection="1">
      <protection locked="0"/>
    </xf>
    <xf numFmtId="0" fontId="21" fillId="0" borderId="0" xfId="0" applyFont="1" applyFill="1" applyBorder="1" applyAlignment="1" applyProtection="1">
      <alignment horizontal="center"/>
      <protection locked="0"/>
    </xf>
    <xf numFmtId="0" fontId="16" fillId="0" borderId="0" xfId="0" applyFont="1" applyBorder="1" applyAlignment="1" applyProtection="1">
      <alignment horizontal="center"/>
      <protection locked="0"/>
    </xf>
    <xf numFmtId="0" fontId="16" fillId="0" borderId="0" xfId="0" applyFont="1" applyFill="1" applyBorder="1" applyAlignment="1" applyProtection="1">
      <alignment horizontal="center" vertical="center"/>
      <protection locked="0"/>
    </xf>
    <xf numFmtId="0" fontId="13" fillId="0" borderId="5" xfId="0" applyFont="1" applyBorder="1" applyProtection="1">
      <protection locked="0"/>
    </xf>
    <xf numFmtId="0" fontId="13" fillId="6" borderId="5" xfId="0" applyFont="1" applyFill="1" applyBorder="1" applyProtection="1">
      <protection locked="0"/>
    </xf>
    <xf numFmtId="0" fontId="14" fillId="0" borderId="10" xfId="0" applyFont="1" applyFill="1" applyBorder="1" applyAlignment="1" applyProtection="1">
      <alignment horizontal="center" vertical="center"/>
      <protection locked="0"/>
    </xf>
    <xf numFmtId="49" fontId="13" fillId="7" borderId="10" xfId="0" applyNumberFormat="1" applyFont="1" applyFill="1" applyBorder="1" applyAlignment="1" applyProtection="1">
      <alignment vertical="center"/>
      <protection locked="0"/>
    </xf>
    <xf numFmtId="0" fontId="17" fillId="0" borderId="0" xfId="0" applyFont="1" applyProtection="1">
      <protection locked="0"/>
    </xf>
    <xf numFmtId="0" fontId="18" fillId="4" borderId="15" xfId="0" applyFont="1" applyFill="1" applyBorder="1" applyAlignment="1" applyProtection="1">
      <alignment horizontal="left" vertical="center" wrapText="1"/>
      <protection locked="0"/>
    </xf>
    <xf numFmtId="0" fontId="13" fillId="5" borderId="16" xfId="0" applyFont="1" applyFill="1" applyBorder="1" applyAlignment="1" applyProtection="1">
      <alignment vertical="center" wrapText="1"/>
      <protection locked="0"/>
    </xf>
    <xf numFmtId="0" fontId="13" fillId="4" borderId="15" xfId="0" applyFont="1" applyFill="1" applyBorder="1" applyAlignment="1" applyProtection="1">
      <alignment horizontal="left" vertical="center" wrapText="1"/>
      <protection locked="0"/>
    </xf>
    <xf numFmtId="0" fontId="13" fillId="0" borderId="0" xfId="0" applyFont="1" applyProtection="1">
      <protection locked="0"/>
    </xf>
    <xf numFmtId="0" fontId="33" fillId="0" borderId="0" xfId="2" applyFont="1" applyAlignment="1" applyProtection="1">
      <alignment vertical="center" readingOrder="1"/>
      <protection locked="0"/>
    </xf>
    <xf numFmtId="0" fontId="13" fillId="6" borderId="0" xfId="0" applyFont="1" applyFill="1" applyBorder="1" applyAlignment="1" applyProtection="1">
      <alignment horizontal="left" vertical="top" wrapText="1"/>
      <protection locked="0"/>
    </xf>
    <xf numFmtId="2" fontId="16" fillId="0" borderId="0" xfId="0" applyNumberFormat="1" applyFont="1" applyAlignment="1" applyProtection="1">
      <alignment horizontal="center"/>
      <protection locked="0"/>
    </xf>
    <xf numFmtId="0" fontId="18" fillId="0" borderId="0" xfId="0" applyFont="1" applyProtection="1">
      <protection locked="0"/>
    </xf>
    <xf numFmtId="0" fontId="14" fillId="0" borderId="0" xfId="0" applyFont="1" applyBorder="1" applyProtection="1">
      <protection locked="0"/>
    </xf>
    <xf numFmtId="0" fontId="13" fillId="0" borderId="0" xfId="0" applyFont="1" applyAlignment="1" applyProtection="1">
      <alignment horizontal="center"/>
      <protection locked="0"/>
    </xf>
    <xf numFmtId="0" fontId="18" fillId="0" borderId="0" xfId="0" applyFont="1" applyAlignment="1" applyProtection="1">
      <alignment horizontal="center"/>
      <protection locked="0"/>
    </xf>
    <xf numFmtId="0" fontId="35" fillId="0" borderId="0" xfId="103" applyFont="1"/>
    <xf numFmtId="0" fontId="6" fillId="0" borderId="0" xfId="103"/>
    <xf numFmtId="0" fontId="6" fillId="0" borderId="27" xfId="103" applyBorder="1"/>
    <xf numFmtId="22" fontId="6" fillId="0" borderId="26" xfId="103" applyNumberFormat="1" applyBorder="1" applyAlignment="1">
      <alignment horizontal="left"/>
    </xf>
    <xf numFmtId="0" fontId="6" fillId="0" borderId="8" xfId="103" applyBorder="1"/>
    <xf numFmtId="0" fontId="6" fillId="0" borderId="28" xfId="103" applyBorder="1"/>
    <xf numFmtId="0" fontId="6" fillId="0" borderId="21" xfId="103" applyBorder="1"/>
    <xf numFmtId="0" fontId="13" fillId="5" borderId="16" xfId="0" applyFont="1" applyFill="1" applyBorder="1" applyAlignment="1" applyProtection="1">
      <alignment horizontal="right" vertical="center" wrapText="1"/>
      <protection locked="0"/>
    </xf>
    <xf numFmtId="0" fontId="6" fillId="0" borderId="29" xfId="103" applyBorder="1"/>
    <xf numFmtId="0" fontId="6" fillId="0" borderId="31" xfId="103" applyBorder="1"/>
    <xf numFmtId="0" fontId="6" fillId="0" borderId="30" xfId="103" applyBorder="1"/>
    <xf numFmtId="0" fontId="6" fillId="0" borderId="11" xfId="103" applyBorder="1"/>
    <xf numFmtId="0" fontId="6" fillId="0" borderId="13" xfId="103" applyBorder="1"/>
    <xf numFmtId="0" fontId="34" fillId="0" borderId="32" xfId="103" applyFont="1" applyBorder="1"/>
    <xf numFmtId="0" fontId="34" fillId="0" borderId="33" xfId="103" applyFont="1" applyBorder="1"/>
    <xf numFmtId="0" fontId="34" fillId="0" borderId="34" xfId="103" applyFont="1" applyBorder="1"/>
    <xf numFmtId="0" fontId="23" fillId="4" borderId="26" xfId="0" applyFont="1" applyFill="1" applyBorder="1" applyAlignment="1">
      <alignment horizontal="left"/>
    </xf>
    <xf numFmtId="0" fontId="23" fillId="4" borderId="32" xfId="0" applyFont="1" applyFill="1" applyBorder="1" applyAlignment="1">
      <alignment horizontal="left"/>
    </xf>
    <xf numFmtId="0" fontId="23" fillId="4" borderId="35" xfId="0" applyFont="1" applyFill="1" applyBorder="1" applyAlignment="1">
      <alignment horizontal="left"/>
    </xf>
    <xf numFmtId="0" fontId="23" fillId="4" borderId="36" xfId="0" applyFont="1" applyFill="1" applyBorder="1" applyAlignment="1">
      <alignment horizontal="left"/>
    </xf>
    <xf numFmtId="49" fontId="13" fillId="0" borderId="6" xfId="0" applyNumberFormat="1" applyFont="1" applyBorder="1" applyAlignment="1"/>
    <xf numFmtId="49" fontId="13" fillId="0" borderId="6" xfId="0" applyNumberFormat="1" applyFont="1" applyBorder="1" applyAlignment="1">
      <alignment horizontal="center"/>
    </xf>
    <xf numFmtId="49" fontId="14" fillId="10" borderId="6" xfId="0" applyNumberFormat="1" applyFont="1" applyFill="1" applyBorder="1" applyAlignment="1">
      <alignment horizontal="center"/>
    </xf>
    <xf numFmtId="49" fontId="36" fillId="0" borderId="0" xfId="0" applyNumberFormat="1" applyFont="1" applyAlignment="1"/>
    <xf numFmtId="0" fontId="14" fillId="0" borderId="18" xfId="0" applyFont="1" applyBorder="1" applyAlignment="1" applyProtection="1">
      <alignment horizontal="center" vertical="center" wrapText="1"/>
    </xf>
    <xf numFmtId="49" fontId="0" fillId="0" borderId="0" xfId="0" applyNumberFormat="1" applyBorder="1" applyAlignment="1">
      <alignment horizontal="center"/>
    </xf>
    <xf numFmtId="49" fontId="0" fillId="0" borderId="0" xfId="0" applyNumberFormat="1" applyFill="1" applyAlignment="1"/>
    <xf numFmtId="0" fontId="0" fillId="0" borderId="0" xfId="0" applyFill="1" applyAlignment="1"/>
    <xf numFmtId="0" fontId="32" fillId="0" borderId="14" xfId="0" applyFont="1" applyBorder="1" applyAlignment="1" applyProtection="1">
      <alignment horizontal="center" vertical="center" wrapText="1"/>
    </xf>
    <xf numFmtId="0" fontId="32" fillId="0" borderId="9" xfId="0" applyFont="1" applyBorder="1" applyAlignment="1" applyProtection="1">
      <alignment horizontal="center" vertical="center" wrapText="1"/>
    </xf>
    <xf numFmtId="0" fontId="32" fillId="0" borderId="18" xfId="0" applyFont="1" applyBorder="1" applyAlignment="1" applyProtection="1">
      <alignment horizontal="center" vertical="center" wrapText="1"/>
    </xf>
    <xf numFmtId="0" fontId="32" fillId="0" borderId="18" xfId="0" applyFont="1" applyFill="1" applyBorder="1" applyAlignment="1" applyProtection="1">
      <alignment horizontal="center" vertical="center" wrapText="1"/>
    </xf>
    <xf numFmtId="49" fontId="13" fillId="0" borderId="6" xfId="0" applyNumberFormat="1" applyFont="1" applyFill="1" applyBorder="1" applyAlignment="1"/>
    <xf numFmtId="49" fontId="13" fillId="0" borderId="15" xfId="0" applyNumberFormat="1" applyFont="1" applyFill="1" applyBorder="1" applyAlignment="1"/>
    <xf numFmtId="49" fontId="13" fillId="0" borderId="0" xfId="0" applyNumberFormat="1" applyFont="1" applyBorder="1" applyAlignment="1">
      <alignment horizontal="center"/>
    </xf>
    <xf numFmtId="0" fontId="0" fillId="0" borderId="0" xfId="0" applyBorder="1" applyAlignment="1"/>
    <xf numFmtId="49" fontId="13" fillId="0" borderId="0" xfId="0" applyNumberFormat="1" applyFont="1" applyBorder="1" applyAlignment="1">
      <alignment horizontal="left"/>
    </xf>
    <xf numFmtId="49" fontId="38" fillId="0" borderId="0" xfId="0" applyNumberFormat="1" applyFont="1" applyBorder="1" applyAlignment="1">
      <alignment horizontal="left"/>
    </xf>
    <xf numFmtId="49" fontId="13" fillId="0" borderId="10" xfId="0" applyNumberFormat="1" applyFont="1" applyBorder="1" applyAlignment="1">
      <alignment horizontal="center"/>
    </xf>
    <xf numFmtId="0" fontId="0" fillId="0" borderId="16" xfId="0" applyBorder="1" applyAlignment="1"/>
    <xf numFmtId="0" fontId="0" fillId="0" borderId="17" xfId="0" applyBorder="1" applyAlignment="1"/>
    <xf numFmtId="49" fontId="0" fillId="0" borderId="1" xfId="0" applyNumberFormat="1" applyBorder="1" applyAlignment="1"/>
    <xf numFmtId="0" fontId="0" fillId="0" borderId="5" xfId="0" applyBorder="1" applyAlignment="1"/>
    <xf numFmtId="0" fontId="0" fillId="0" borderId="3" xfId="0" applyBorder="1" applyAlignment="1"/>
    <xf numFmtId="49" fontId="13" fillId="0" borderId="10" xfId="0" applyNumberFormat="1" applyFont="1" applyBorder="1" applyAlignment="1"/>
    <xf numFmtId="49" fontId="14" fillId="0" borderId="15" xfId="0" applyNumberFormat="1" applyFont="1" applyBorder="1" applyAlignment="1">
      <alignment horizontal="left" vertical="center"/>
    </xf>
    <xf numFmtId="0" fontId="14" fillId="0" borderId="6" xfId="0" applyFont="1" applyBorder="1" applyAlignment="1">
      <alignment horizontal="left" vertical="center"/>
    </xf>
    <xf numFmtId="49" fontId="13" fillId="0" borderId="6" xfId="0" applyNumberFormat="1" applyFont="1" applyBorder="1" applyAlignment="1">
      <alignment horizontal="left"/>
    </xf>
    <xf numFmtId="0" fontId="13" fillId="0" borderId="6" xfId="0" applyFont="1" applyBorder="1" applyAlignment="1"/>
    <xf numFmtId="0" fontId="13" fillId="0" borderId="6" xfId="0" applyFont="1" applyFill="1" applyBorder="1" applyAlignment="1"/>
    <xf numFmtId="0" fontId="22" fillId="4" borderId="6" xfId="0" applyFont="1" applyFill="1" applyBorder="1" applyAlignment="1" applyProtection="1">
      <alignment horizontal="center" vertical="center"/>
      <protection locked="0"/>
    </xf>
    <xf numFmtId="0" fontId="22" fillId="4" borderId="6" xfId="0" applyNumberFormat="1" applyFont="1" applyFill="1" applyBorder="1" applyAlignment="1" applyProtection="1">
      <alignment horizontal="center" vertical="center"/>
      <protection locked="0"/>
    </xf>
    <xf numFmtId="0" fontId="22" fillId="9" borderId="6" xfId="0" applyFont="1" applyFill="1" applyBorder="1" applyAlignment="1" applyProtection="1">
      <alignment horizontal="center" vertical="center"/>
      <protection locked="0"/>
    </xf>
    <xf numFmtId="0" fontId="13" fillId="0" borderId="6" xfId="0" applyFont="1" applyBorder="1"/>
    <xf numFmtId="49" fontId="36" fillId="0" borderId="0" xfId="0" applyNumberFormat="1" applyFont="1" applyBorder="1" applyAlignment="1">
      <alignment horizontal="left"/>
    </xf>
    <xf numFmtId="0" fontId="2" fillId="0" borderId="25" xfId="103" applyFont="1" applyBorder="1"/>
    <xf numFmtId="0" fontId="2" fillId="0" borderId="27" xfId="103" applyFont="1" applyBorder="1"/>
    <xf numFmtId="0" fontId="2" fillId="0" borderId="0" xfId="103" applyFont="1"/>
    <xf numFmtId="0" fontId="23" fillId="4" borderId="6" xfId="0" applyFont="1" applyFill="1" applyBorder="1" applyAlignment="1">
      <alignment horizontal="left"/>
    </xf>
    <xf numFmtId="0" fontId="23" fillId="4" borderId="38" xfId="0" applyFont="1" applyFill="1" applyBorder="1" applyAlignment="1">
      <alignment horizontal="left"/>
    </xf>
    <xf numFmtId="0" fontId="23" fillId="4" borderId="39" xfId="0" applyFont="1" applyFill="1" applyBorder="1" applyAlignment="1">
      <alignment horizontal="left"/>
    </xf>
    <xf numFmtId="0" fontId="23" fillId="4" borderId="40" xfId="0" applyFont="1" applyFill="1" applyBorder="1" applyAlignment="1">
      <alignment horizontal="left"/>
    </xf>
    <xf numFmtId="0" fontId="23" fillId="4" borderId="41" xfId="0" applyFont="1" applyFill="1" applyBorder="1" applyAlignment="1">
      <alignment horizontal="left"/>
    </xf>
    <xf numFmtId="0" fontId="23" fillId="4" borderId="42" xfId="0" applyFont="1" applyFill="1" applyBorder="1" applyAlignment="1">
      <alignment horizontal="left"/>
    </xf>
    <xf numFmtId="0" fontId="23" fillId="4" borderId="43" xfId="0" applyFont="1" applyFill="1" applyBorder="1" applyAlignment="1">
      <alignment horizontal="left"/>
    </xf>
    <xf numFmtId="0" fontId="23" fillId="4" borderId="44" xfId="0" applyFont="1" applyFill="1" applyBorder="1" applyAlignment="1">
      <alignment horizontal="left"/>
    </xf>
    <xf numFmtId="0" fontId="23" fillId="4" borderId="45" xfId="0" applyFont="1" applyFill="1" applyBorder="1" applyAlignment="1">
      <alignment horizontal="left"/>
    </xf>
    <xf numFmtId="0" fontId="2" fillId="0" borderId="29" xfId="103" applyFont="1" applyBorder="1"/>
    <xf numFmtId="0" fontId="34" fillId="0" borderId="0" xfId="103" applyFont="1"/>
    <xf numFmtId="0" fontId="23" fillId="4" borderId="46" xfId="0" applyFont="1" applyFill="1" applyBorder="1" applyAlignment="1">
      <alignment horizontal="left"/>
    </xf>
    <xf numFmtId="0" fontId="23" fillId="4" borderId="15" xfId="0" applyFont="1" applyFill="1" applyBorder="1" applyAlignment="1">
      <alignment horizontal="left"/>
    </xf>
    <xf numFmtId="0" fontId="6" fillId="0" borderId="6" xfId="103" applyBorder="1"/>
    <xf numFmtId="0" fontId="6" fillId="0" borderId="47" xfId="103" applyBorder="1"/>
    <xf numFmtId="0" fontId="6" fillId="0" borderId="47" xfId="103" applyBorder="1" applyAlignment="1">
      <alignment horizontal="center" vertical="center"/>
    </xf>
    <xf numFmtId="0" fontId="2" fillId="0" borderId="47" xfId="103" applyFont="1" applyBorder="1" applyAlignment="1">
      <alignment horizontal="center" vertical="center"/>
    </xf>
    <xf numFmtId="0" fontId="6" fillId="0" borderId="47" xfId="103" applyBorder="1" applyAlignment="1">
      <alignment horizontal="left" vertical="center"/>
    </xf>
    <xf numFmtId="0" fontId="1" fillId="0" borderId="25" xfId="103" applyFont="1" applyBorder="1"/>
    <xf numFmtId="0" fontId="1" fillId="0" borderId="27" xfId="103" applyFont="1" applyBorder="1"/>
    <xf numFmtId="0" fontId="5" fillId="0" borderId="8" xfId="103" applyFont="1" applyBorder="1"/>
    <xf numFmtId="0" fontId="37" fillId="4" borderId="0" xfId="104" applyFill="1" applyBorder="1" applyAlignment="1">
      <alignment horizontal="left"/>
    </xf>
    <xf numFmtId="0" fontId="37" fillId="4" borderId="20" xfId="104" applyFill="1" applyBorder="1" applyAlignment="1">
      <alignment horizontal="left"/>
    </xf>
    <xf numFmtId="0" fontId="37" fillId="4" borderId="14" xfId="104" applyFill="1" applyBorder="1" applyAlignment="1">
      <alignment horizontal="left"/>
    </xf>
    <xf numFmtId="0" fontId="3" fillId="0" borderId="33" xfId="103" applyFont="1" applyBorder="1"/>
    <xf numFmtId="0" fontId="3" fillId="0" borderId="48" xfId="103" applyFont="1" applyBorder="1"/>
    <xf numFmtId="0" fontId="3" fillId="0" borderId="49" xfId="103" applyFont="1" applyBorder="1"/>
    <xf numFmtId="0" fontId="4" fillId="0" borderId="34" xfId="103" applyFont="1" applyBorder="1"/>
    <xf numFmtId="0" fontId="4" fillId="0" borderId="50" xfId="103" applyFont="1" applyBorder="1"/>
    <xf numFmtId="0" fontId="4" fillId="0" borderId="51" xfId="103" applyFont="1" applyBorder="1"/>
    <xf numFmtId="49" fontId="6" fillId="0" borderId="26" xfId="103" applyNumberFormat="1" applyBorder="1" applyAlignment="1">
      <alignment horizontal="left"/>
    </xf>
    <xf numFmtId="0" fontId="0" fillId="0" borderId="0" xfId="0" applyFill="1" applyProtection="1">
      <protection locked="0"/>
    </xf>
    <xf numFmtId="49" fontId="22" fillId="4" borderId="15" xfId="0" quotePrefix="1" applyNumberFormat="1" applyFont="1" applyFill="1" applyBorder="1" applyAlignment="1" applyProtection="1">
      <alignment horizontal="center" vertical="center"/>
      <protection locked="0"/>
    </xf>
    <xf numFmtId="0" fontId="37" fillId="4" borderId="15" xfId="104" quotePrefix="1" applyNumberFormat="1" applyFill="1" applyBorder="1" applyAlignment="1" applyProtection="1">
      <alignment horizontal="center" vertical="center"/>
      <protection locked="0"/>
    </xf>
    <xf numFmtId="1" fontId="39" fillId="0" borderId="0" xfId="0" applyNumberFormat="1" applyFont="1" applyAlignment="1" applyProtection="1">
      <alignment horizontal="center"/>
      <protection locked="0"/>
    </xf>
    <xf numFmtId="0" fontId="16" fillId="0" borderId="5" xfId="0" applyFont="1" applyBorder="1" applyAlignment="1">
      <alignment horizontal="center" wrapText="1"/>
    </xf>
    <xf numFmtId="0" fontId="16" fillId="0" borderId="3" xfId="0" applyFont="1" applyBorder="1" applyAlignment="1">
      <alignment horizontal="center" wrapText="1"/>
    </xf>
    <xf numFmtId="0" fontId="16" fillId="0" borderId="4" xfId="0" applyFont="1" applyBorder="1" applyAlignment="1">
      <alignment horizontal="center"/>
    </xf>
    <xf numFmtId="0" fontId="16" fillId="0" borderId="7" xfId="0" applyFont="1" applyBorder="1" applyAlignment="1">
      <alignment horizontal="center"/>
    </xf>
    <xf numFmtId="0" fontId="16" fillId="0" borderId="17" xfId="0" applyFont="1" applyBorder="1" applyAlignment="1">
      <alignment horizontal="center" vertical="center"/>
    </xf>
    <xf numFmtId="0" fontId="16" fillId="0" borderId="6" xfId="0" applyFont="1" applyBorder="1" applyAlignment="1">
      <alignment horizontal="center" vertical="center"/>
    </xf>
    <xf numFmtId="0" fontId="32" fillId="2" borderId="17" xfId="0" applyFont="1" applyFill="1" applyBorder="1" applyAlignment="1">
      <alignment horizontal="center" vertical="center"/>
    </xf>
    <xf numFmtId="0" fontId="32" fillId="2" borderId="6" xfId="0" applyFont="1" applyFill="1" applyBorder="1" applyAlignment="1">
      <alignment horizontal="center" vertical="center"/>
    </xf>
    <xf numFmtId="0" fontId="20" fillId="4" borderId="0" xfId="0" applyFont="1" applyFill="1" applyAlignment="1">
      <alignment horizontal="center"/>
    </xf>
    <xf numFmtId="49" fontId="23" fillId="0" borderId="0" xfId="0" applyNumberFormat="1" applyFont="1" applyFill="1" applyAlignment="1">
      <alignment horizontal="left" vertical="center"/>
    </xf>
    <xf numFmtId="0" fontId="23" fillId="0" borderId="0" xfId="0" applyFont="1" applyFill="1" applyAlignment="1">
      <alignment horizontal="left" vertical="center"/>
    </xf>
    <xf numFmtId="0" fontId="23" fillId="4" borderId="0" xfId="0" applyFont="1" applyFill="1" applyAlignment="1">
      <alignment horizontal="left"/>
    </xf>
    <xf numFmtId="0" fontId="24" fillId="4" borderId="0" xfId="0" applyFont="1" applyFill="1" applyAlignment="1">
      <alignment horizontal="left"/>
    </xf>
    <xf numFmtId="0" fontId="19" fillId="0" borderId="0" xfId="0" applyFont="1" applyBorder="1" applyAlignment="1">
      <alignment horizontal="center" wrapText="1"/>
    </xf>
    <xf numFmtId="0" fontId="14" fillId="0" borderId="19" xfId="0" applyFont="1" applyBorder="1" applyAlignment="1" applyProtection="1">
      <alignment horizontal="center" vertical="center" wrapText="1"/>
    </xf>
    <xf numFmtId="0" fontId="14" fillId="0" borderId="18" xfId="0" applyFont="1" applyBorder="1" applyAlignment="1" applyProtection="1">
      <alignment horizontal="center" vertical="center" wrapText="1"/>
    </xf>
    <xf numFmtId="0" fontId="14" fillId="0" borderId="11" xfId="0" applyFont="1" applyBorder="1" applyAlignment="1" applyProtection="1">
      <alignment horizontal="center" vertical="center" wrapText="1"/>
    </xf>
    <xf numFmtId="0" fontId="14" fillId="0" borderId="12" xfId="0" applyFont="1" applyBorder="1" applyAlignment="1" applyProtection="1">
      <alignment horizontal="center" vertical="center" wrapText="1"/>
    </xf>
    <xf numFmtId="0" fontId="14" fillId="0" borderId="13" xfId="0" applyFont="1" applyBorder="1" applyAlignment="1" applyProtection="1">
      <alignment horizontal="center" vertical="center" wrapText="1"/>
    </xf>
    <xf numFmtId="0" fontId="21" fillId="3" borderId="1" xfId="0" applyFont="1" applyFill="1" applyBorder="1" applyAlignment="1" applyProtection="1">
      <alignment horizontal="center"/>
      <protection locked="0"/>
    </xf>
    <xf numFmtId="0" fontId="21" fillId="3" borderId="5" xfId="0" applyFont="1" applyFill="1" applyBorder="1" applyAlignment="1" applyProtection="1">
      <alignment horizontal="center"/>
      <protection locked="0"/>
    </xf>
    <xf numFmtId="0" fontId="21" fillId="3" borderId="2" xfId="0" applyFont="1" applyFill="1" applyBorder="1" applyAlignment="1" applyProtection="1">
      <alignment horizontal="center"/>
      <protection locked="0"/>
    </xf>
    <xf numFmtId="0" fontId="21" fillId="3" borderId="4" xfId="0" applyFont="1" applyFill="1" applyBorder="1" applyAlignment="1" applyProtection="1">
      <alignment horizontal="center"/>
      <protection locked="0"/>
    </xf>
    <xf numFmtId="0" fontId="16" fillId="0" borderId="5" xfId="0" applyFont="1" applyBorder="1" applyAlignment="1" applyProtection="1">
      <alignment horizontal="center" wrapText="1"/>
      <protection locked="0"/>
    </xf>
    <xf numFmtId="0" fontId="16" fillId="0" borderId="10" xfId="0" applyFont="1" applyBorder="1" applyAlignment="1" applyProtection="1">
      <alignment horizontal="center" vertical="center"/>
      <protection locked="0"/>
    </xf>
    <xf numFmtId="0" fontId="16" fillId="0" borderId="17" xfId="0" applyFont="1" applyBorder="1" applyAlignment="1" applyProtection="1">
      <alignment horizontal="center" vertical="center"/>
      <protection locked="0"/>
    </xf>
    <xf numFmtId="0" fontId="16" fillId="0" borderId="4" xfId="0" applyFont="1" applyBorder="1" applyAlignment="1" applyProtection="1">
      <alignment horizontal="center"/>
      <protection locked="0"/>
    </xf>
    <xf numFmtId="0" fontId="32" fillId="2" borderId="10" xfId="0" applyFont="1" applyFill="1" applyBorder="1" applyAlignment="1" applyProtection="1">
      <alignment horizontal="center" vertical="center"/>
    </xf>
    <xf numFmtId="0" fontId="32" fillId="2" borderId="17" xfId="0" applyFont="1" applyFill="1" applyBorder="1" applyAlignment="1" applyProtection="1">
      <alignment horizontal="center" vertical="center"/>
    </xf>
    <xf numFmtId="0" fontId="13" fillId="0" borderId="21" xfId="0" applyFont="1" applyBorder="1" applyAlignment="1" applyProtection="1">
      <alignment horizontal="center"/>
      <protection locked="0"/>
    </xf>
    <xf numFmtId="0" fontId="13" fillId="0" borderId="14" xfId="0" applyFont="1" applyBorder="1" applyAlignment="1" applyProtection="1">
      <alignment horizontal="center"/>
      <protection locked="0"/>
    </xf>
    <xf numFmtId="0" fontId="14" fillId="0" borderId="23" xfId="0" applyFont="1" applyBorder="1" applyAlignment="1" applyProtection="1">
      <alignment horizontal="center" vertical="center" wrapText="1"/>
    </xf>
    <xf numFmtId="0" fontId="14" fillId="0" borderId="24" xfId="0" applyFont="1" applyBorder="1" applyAlignment="1" applyProtection="1">
      <alignment horizontal="center" vertical="center" wrapText="1"/>
    </xf>
    <xf numFmtId="0" fontId="14" fillId="0" borderId="8" xfId="0" applyFont="1" applyBorder="1" applyAlignment="1" applyProtection="1">
      <alignment horizontal="center" vertical="center"/>
    </xf>
    <xf numFmtId="0" fontId="0" fillId="0" borderId="20" xfId="0" applyBorder="1" applyProtection="1"/>
    <xf numFmtId="0" fontId="0" fillId="0" borderId="21" xfId="0" applyBorder="1" applyProtection="1"/>
    <xf numFmtId="0" fontId="0" fillId="0" borderId="14" xfId="0" applyBorder="1" applyProtection="1"/>
    <xf numFmtId="0" fontId="14" fillId="0" borderId="19" xfId="0" applyFont="1" applyBorder="1" applyAlignment="1" applyProtection="1">
      <alignment horizontal="center" vertical="center"/>
    </xf>
    <xf numFmtId="0" fontId="14" fillId="0" borderId="18" xfId="0" applyFont="1" applyBorder="1" applyAlignment="1" applyProtection="1">
      <alignment horizontal="center" vertical="center"/>
    </xf>
    <xf numFmtId="0" fontId="2" fillId="0" borderId="6" xfId="103" applyFont="1" applyBorder="1" applyAlignment="1">
      <alignment horizontal="center"/>
    </xf>
    <xf numFmtId="0" fontId="6" fillId="0" borderId="6" xfId="103" applyBorder="1" applyAlignment="1">
      <alignment horizontal="center"/>
    </xf>
    <xf numFmtId="0" fontId="2" fillId="0" borderId="47" xfId="103" applyFont="1" applyBorder="1" applyAlignment="1">
      <alignment horizontal="center" vertical="center" wrapText="1"/>
    </xf>
    <xf numFmtId="0" fontId="2" fillId="0" borderId="36" xfId="103" applyFont="1" applyBorder="1" applyAlignment="1">
      <alignment horizontal="center" vertical="center" wrapText="1"/>
    </xf>
    <xf numFmtId="49" fontId="0" fillId="0" borderId="1" xfId="0" applyNumberFormat="1" applyBorder="1" applyAlignment="1">
      <alignment horizontal="left"/>
    </xf>
    <xf numFmtId="49" fontId="0" fillId="0" borderId="5" xfId="0" applyNumberFormat="1" applyBorder="1" applyAlignment="1">
      <alignment horizontal="left"/>
    </xf>
    <xf numFmtId="49" fontId="0" fillId="0" borderId="3" xfId="0" applyNumberFormat="1" applyBorder="1" applyAlignment="1">
      <alignment horizontal="left"/>
    </xf>
    <xf numFmtId="49" fontId="13" fillId="0" borderId="2" xfId="0" applyNumberFormat="1" applyFont="1" applyBorder="1" applyAlignment="1">
      <alignment horizontal="left"/>
    </xf>
    <xf numFmtId="49" fontId="13" fillId="0" borderId="4" xfId="0" applyNumberFormat="1" applyFont="1" applyBorder="1" applyAlignment="1">
      <alignment horizontal="left"/>
    </xf>
    <xf numFmtId="49" fontId="13" fillId="0" borderId="7" xfId="0" applyNumberFormat="1" applyFont="1" applyBorder="1" applyAlignment="1">
      <alignment horizontal="left"/>
    </xf>
    <xf numFmtId="49" fontId="13" fillId="0" borderId="10" xfId="0" applyNumberFormat="1" applyFont="1" applyBorder="1" applyAlignment="1">
      <alignment horizontal="left"/>
    </xf>
    <xf numFmtId="49" fontId="13" fillId="0" borderId="16" xfId="0" applyNumberFormat="1" applyFont="1" applyBorder="1" applyAlignment="1">
      <alignment horizontal="left"/>
    </xf>
    <xf numFmtId="49" fontId="13" fillId="0" borderId="17" xfId="0" applyNumberFormat="1" applyFont="1" applyBorder="1" applyAlignment="1">
      <alignment horizontal="left"/>
    </xf>
    <xf numFmtId="49" fontId="0" fillId="0" borderId="1" xfId="0" applyNumberFormat="1" applyBorder="1" applyAlignment="1">
      <alignment horizontal="center"/>
    </xf>
    <xf numFmtId="49" fontId="0" fillId="0" borderId="3" xfId="0" applyNumberFormat="1" applyBorder="1" applyAlignment="1">
      <alignment horizontal="center"/>
    </xf>
    <xf numFmtId="49" fontId="0" fillId="0" borderId="2" xfId="0" applyNumberFormat="1" applyBorder="1" applyAlignment="1">
      <alignment horizontal="center"/>
    </xf>
    <xf numFmtId="49" fontId="0" fillId="0" borderId="7" xfId="0" applyNumberFormat="1" applyBorder="1" applyAlignment="1">
      <alignment horizontal="center"/>
    </xf>
    <xf numFmtId="0" fontId="16" fillId="0" borderId="6" xfId="0" applyFont="1" applyBorder="1" applyAlignment="1">
      <alignment horizontal="center"/>
    </xf>
    <xf numFmtId="49" fontId="14" fillId="10" borderId="10" xfId="0" applyNumberFormat="1" applyFont="1" applyFill="1" applyBorder="1" applyAlignment="1">
      <alignment horizontal="center"/>
    </xf>
    <xf numFmtId="49" fontId="14" fillId="10" borderId="16" xfId="0" applyNumberFormat="1" applyFont="1" applyFill="1" applyBorder="1" applyAlignment="1">
      <alignment horizontal="center"/>
    </xf>
    <xf numFmtId="49" fontId="14" fillId="10" borderId="17" xfId="0" applyNumberFormat="1" applyFont="1" applyFill="1" applyBorder="1" applyAlignment="1">
      <alignment horizontal="center"/>
    </xf>
    <xf numFmtId="49" fontId="0" fillId="0" borderId="10" xfId="0" applyNumberFormat="1" applyBorder="1" applyAlignment="1">
      <alignment horizontal="left"/>
    </xf>
    <xf numFmtId="49" fontId="0" fillId="0" borderId="16" xfId="0" applyNumberFormat="1" applyBorder="1" applyAlignment="1">
      <alignment horizontal="left"/>
    </xf>
    <xf numFmtId="49" fontId="0" fillId="0" borderId="17" xfId="0" applyNumberFormat="1" applyBorder="1" applyAlignment="1">
      <alignment horizontal="left"/>
    </xf>
    <xf numFmtId="49" fontId="14" fillId="10" borderId="6" xfId="0" applyNumberFormat="1" applyFont="1" applyFill="1" applyBorder="1" applyAlignment="1">
      <alignment horizontal="center"/>
    </xf>
    <xf numFmtId="0" fontId="13" fillId="0" borderId="6" xfId="0" applyFont="1" applyBorder="1" applyAlignment="1">
      <alignment horizontal="left"/>
    </xf>
    <xf numFmtId="0" fontId="13" fillId="0" borderId="6" xfId="0" applyFont="1" applyFill="1" applyBorder="1" applyAlignment="1">
      <alignment horizontal="left"/>
    </xf>
    <xf numFmtId="0" fontId="27" fillId="0" borderId="6" xfId="104" applyFont="1" applyBorder="1" applyAlignment="1">
      <alignment horizontal="left"/>
    </xf>
    <xf numFmtId="0" fontId="32" fillId="0" borderId="19" xfId="0" applyFont="1" applyBorder="1" applyAlignment="1" applyProtection="1">
      <alignment horizontal="center" vertical="center" wrapText="1"/>
    </xf>
    <xf numFmtId="0" fontId="32" fillId="0" borderId="18" xfId="0" applyFont="1" applyBorder="1" applyAlignment="1" applyProtection="1">
      <alignment horizontal="center" vertical="center" wrapText="1"/>
    </xf>
    <xf numFmtId="0" fontId="16" fillId="0" borderId="10" xfId="0" applyFont="1" applyBorder="1" applyAlignment="1">
      <alignment horizontal="center"/>
    </xf>
    <xf numFmtId="0" fontId="16" fillId="0" borderId="16" xfId="0" applyFont="1" applyBorder="1" applyAlignment="1">
      <alignment horizontal="center"/>
    </xf>
    <xf numFmtId="0" fontId="16" fillId="0" borderId="17" xfId="0" applyFont="1" applyBorder="1" applyAlignment="1">
      <alignment horizontal="center"/>
    </xf>
    <xf numFmtId="0" fontId="16" fillId="0" borderId="37" xfId="0" applyFont="1" applyBorder="1" applyAlignment="1">
      <alignment horizontal="center" vertical="center"/>
    </xf>
    <xf numFmtId="0" fontId="16" fillId="0" borderId="0" xfId="0" applyFont="1" applyBorder="1" applyAlignment="1">
      <alignment horizontal="center" vertical="center"/>
    </xf>
    <xf numFmtId="0" fontId="32" fillId="2" borderId="37" xfId="0" applyFont="1" applyFill="1" applyBorder="1" applyAlignment="1">
      <alignment horizontal="center" vertical="center"/>
    </xf>
    <xf numFmtId="0" fontId="32" fillId="2" borderId="0" xfId="0" applyFont="1" applyFill="1" applyBorder="1" applyAlignment="1">
      <alignment horizontal="center" vertical="center"/>
    </xf>
    <xf numFmtId="0" fontId="32" fillId="0" borderId="11" xfId="0" applyFont="1" applyBorder="1" applyAlignment="1" applyProtection="1">
      <alignment horizontal="center" vertical="center"/>
    </xf>
    <xf numFmtId="0" fontId="32" fillId="0" borderId="13" xfId="0" applyFont="1" applyBorder="1" applyAlignment="1" applyProtection="1">
      <alignment horizontal="center" vertical="center"/>
    </xf>
    <xf numFmtId="0" fontId="32" fillId="0" borderId="11" xfId="0" applyFont="1" applyBorder="1" applyAlignment="1" applyProtection="1">
      <alignment horizontal="center" vertical="center" wrapText="1"/>
    </xf>
    <xf numFmtId="0" fontId="32" fillId="0" borderId="12" xfId="0" applyFont="1" applyBorder="1" applyAlignment="1" applyProtection="1">
      <alignment horizontal="center" vertical="center" wrapText="1"/>
    </xf>
    <xf numFmtId="0" fontId="32" fillId="0" borderId="13" xfId="0" applyFont="1" applyBorder="1" applyAlignment="1" applyProtection="1">
      <alignment horizontal="center" vertical="center" wrapText="1"/>
    </xf>
    <xf numFmtId="0" fontId="0" fillId="11" borderId="0" xfId="0" applyFill="1" applyProtection="1">
      <protection locked="0"/>
    </xf>
  </cellXfs>
  <cellStyles count="105">
    <cellStyle name="Comma 2" xfId="3" xr:uid="{00000000-0005-0000-0000-000000000000}"/>
    <cellStyle name="Comma 2 2" xfId="4" xr:uid="{00000000-0005-0000-0000-000001000000}"/>
    <cellStyle name="Comma 3" xfId="5" xr:uid="{00000000-0005-0000-0000-000002000000}"/>
    <cellStyle name="Comma 3 2" xfId="6" xr:uid="{00000000-0005-0000-0000-000003000000}"/>
    <cellStyle name="Comma 4" xfId="28" xr:uid="{00000000-0005-0000-0000-000004000000}"/>
    <cellStyle name="Comma 5" xfId="36" xr:uid="{00000000-0005-0000-0000-000005000000}"/>
    <cellStyle name="Comma 6" xfId="66" xr:uid="{00000000-0005-0000-0000-000006000000}"/>
    <cellStyle name="Currency 2" xfId="7" xr:uid="{00000000-0005-0000-0000-000007000000}"/>
    <cellStyle name="Currency 2 2" xfId="8" xr:uid="{00000000-0005-0000-0000-000008000000}"/>
    <cellStyle name="Currency 3" xfId="9" xr:uid="{00000000-0005-0000-0000-000009000000}"/>
    <cellStyle name="Currency 3 2" xfId="10" xr:uid="{00000000-0005-0000-0000-00000A000000}"/>
    <cellStyle name="Currency 4" xfId="27" xr:uid="{00000000-0005-0000-0000-00000B000000}"/>
    <cellStyle name="Hyperlink 2" xfId="11" xr:uid="{00000000-0005-0000-0000-00000C000000}"/>
    <cellStyle name="Hyperlink 3" xfId="34" xr:uid="{00000000-0005-0000-0000-00000D000000}"/>
    <cellStyle name="Link" xfId="104" builtinId="8"/>
    <cellStyle name="Normal 2" xfId="1" xr:uid="{00000000-0005-0000-0000-00000F000000}"/>
    <cellStyle name="Normal 2 2" xfId="12" xr:uid="{00000000-0005-0000-0000-000010000000}"/>
    <cellStyle name="Normal 3" xfId="2" xr:uid="{00000000-0005-0000-0000-000011000000}"/>
    <cellStyle name="Normal 3 2" xfId="13" xr:uid="{00000000-0005-0000-0000-000012000000}"/>
    <cellStyle name="Normal 3 2 2" xfId="14" xr:uid="{00000000-0005-0000-0000-000013000000}"/>
    <cellStyle name="Normal 3 3" xfId="31" xr:uid="{00000000-0005-0000-0000-000014000000}"/>
    <cellStyle name="Normal 3 3 2" xfId="44" xr:uid="{00000000-0005-0000-0000-000015000000}"/>
    <cellStyle name="Normal 3 3 2 2" xfId="62" xr:uid="{00000000-0005-0000-0000-000016000000}"/>
    <cellStyle name="Normal 3 3 2 2 2" xfId="99" xr:uid="{00000000-0005-0000-0000-000017000000}"/>
    <cellStyle name="Normal 3 3 2 3" xfId="81" xr:uid="{00000000-0005-0000-0000-000018000000}"/>
    <cellStyle name="Normal 3 3 3" xfId="53" xr:uid="{00000000-0005-0000-0000-000019000000}"/>
    <cellStyle name="Normal 3 3 3 2" xfId="90" xr:uid="{00000000-0005-0000-0000-00001A000000}"/>
    <cellStyle name="Normal 3 3 4" xfId="72" xr:uid="{00000000-0005-0000-0000-00001B000000}"/>
    <cellStyle name="Normal 4" xfId="15" xr:uid="{00000000-0005-0000-0000-00001C000000}"/>
    <cellStyle name="Normal 4 2" xfId="16" xr:uid="{00000000-0005-0000-0000-00001D000000}"/>
    <cellStyle name="Normal 4 2 2" xfId="29" xr:uid="{00000000-0005-0000-0000-00001E000000}"/>
    <cellStyle name="Normal 4 2 2 2" xfId="42" xr:uid="{00000000-0005-0000-0000-00001F000000}"/>
    <cellStyle name="Normal 4 2 2 2 2" xfId="60" xr:uid="{00000000-0005-0000-0000-000020000000}"/>
    <cellStyle name="Normal 4 2 2 2 2 2" xfId="97" xr:uid="{00000000-0005-0000-0000-000021000000}"/>
    <cellStyle name="Normal 4 2 2 2 3" xfId="79" xr:uid="{00000000-0005-0000-0000-000022000000}"/>
    <cellStyle name="Normal 4 2 2 3" xfId="51" xr:uid="{00000000-0005-0000-0000-000023000000}"/>
    <cellStyle name="Normal 4 2 2 3 2" xfId="88" xr:uid="{00000000-0005-0000-0000-000024000000}"/>
    <cellStyle name="Normal 4 2 2 4" xfId="70" xr:uid="{00000000-0005-0000-0000-000025000000}"/>
    <cellStyle name="Normal 4 2 3" xfId="32" xr:uid="{00000000-0005-0000-0000-000026000000}"/>
    <cellStyle name="Normal 4 2 3 2" xfId="45" xr:uid="{00000000-0005-0000-0000-000027000000}"/>
    <cellStyle name="Normal 4 2 3 2 2" xfId="63" xr:uid="{00000000-0005-0000-0000-000028000000}"/>
    <cellStyle name="Normal 4 2 3 2 2 2" xfId="100" xr:uid="{00000000-0005-0000-0000-000029000000}"/>
    <cellStyle name="Normal 4 2 3 2 3" xfId="82" xr:uid="{00000000-0005-0000-0000-00002A000000}"/>
    <cellStyle name="Normal 4 2 3 3" xfId="54" xr:uid="{00000000-0005-0000-0000-00002B000000}"/>
    <cellStyle name="Normal 4 2 3 3 2" xfId="91" xr:uid="{00000000-0005-0000-0000-00002C000000}"/>
    <cellStyle name="Normal 4 2 3 4" xfId="73" xr:uid="{00000000-0005-0000-0000-00002D000000}"/>
    <cellStyle name="Normal 4 2 4" xfId="39" xr:uid="{00000000-0005-0000-0000-00002E000000}"/>
    <cellStyle name="Normal 4 2 4 2" xfId="57" xr:uid="{00000000-0005-0000-0000-00002F000000}"/>
    <cellStyle name="Normal 4 2 4 2 2" xfId="94" xr:uid="{00000000-0005-0000-0000-000030000000}"/>
    <cellStyle name="Normal 4 2 4 3" xfId="76" xr:uid="{00000000-0005-0000-0000-000031000000}"/>
    <cellStyle name="Normal 4 2 5" xfId="48" xr:uid="{00000000-0005-0000-0000-000032000000}"/>
    <cellStyle name="Normal 4 2 5 2" xfId="85" xr:uid="{00000000-0005-0000-0000-000033000000}"/>
    <cellStyle name="Normal 4 2 6" xfId="67" xr:uid="{00000000-0005-0000-0000-000034000000}"/>
    <cellStyle name="Normal 4 3" xfId="17" xr:uid="{00000000-0005-0000-0000-000035000000}"/>
    <cellStyle name="Normal 4 3 2" xfId="18" xr:uid="{00000000-0005-0000-0000-000036000000}"/>
    <cellStyle name="Normal 5" xfId="19" xr:uid="{00000000-0005-0000-0000-000037000000}"/>
    <cellStyle name="Normal 5 2" xfId="30" xr:uid="{00000000-0005-0000-0000-000038000000}"/>
    <cellStyle name="Normal 5 2 2" xfId="43" xr:uid="{00000000-0005-0000-0000-000039000000}"/>
    <cellStyle name="Normal 5 2 2 2" xfId="61" xr:uid="{00000000-0005-0000-0000-00003A000000}"/>
    <cellStyle name="Normal 5 2 2 2 2" xfId="98" xr:uid="{00000000-0005-0000-0000-00003B000000}"/>
    <cellStyle name="Normal 5 2 2 3" xfId="80" xr:uid="{00000000-0005-0000-0000-00003C000000}"/>
    <cellStyle name="Normal 5 2 3" xfId="52" xr:uid="{00000000-0005-0000-0000-00003D000000}"/>
    <cellStyle name="Normal 5 2 3 2" xfId="89" xr:uid="{00000000-0005-0000-0000-00003E000000}"/>
    <cellStyle name="Normal 5 2 4" xfId="71" xr:uid="{00000000-0005-0000-0000-00003F000000}"/>
    <cellStyle name="Normal 5 3" xfId="35" xr:uid="{00000000-0005-0000-0000-000040000000}"/>
    <cellStyle name="Normal 5 3 2" xfId="47" xr:uid="{00000000-0005-0000-0000-000041000000}"/>
    <cellStyle name="Normal 5 3 2 2" xfId="65" xr:uid="{00000000-0005-0000-0000-000042000000}"/>
    <cellStyle name="Normal 5 3 2 2 2" xfId="102" xr:uid="{00000000-0005-0000-0000-000043000000}"/>
    <cellStyle name="Normal 5 3 2 3" xfId="84" xr:uid="{00000000-0005-0000-0000-000044000000}"/>
    <cellStyle name="Normal 5 3 3" xfId="56" xr:uid="{00000000-0005-0000-0000-000045000000}"/>
    <cellStyle name="Normal 5 3 3 2" xfId="93" xr:uid="{00000000-0005-0000-0000-000046000000}"/>
    <cellStyle name="Normal 5 3 4" xfId="75" xr:uid="{00000000-0005-0000-0000-000047000000}"/>
    <cellStyle name="Normal 5 4" xfId="40" xr:uid="{00000000-0005-0000-0000-000048000000}"/>
    <cellStyle name="Normal 5 4 2" xfId="58" xr:uid="{00000000-0005-0000-0000-000049000000}"/>
    <cellStyle name="Normal 5 4 2 2" xfId="95" xr:uid="{00000000-0005-0000-0000-00004A000000}"/>
    <cellStyle name="Normal 5 4 3" xfId="77" xr:uid="{00000000-0005-0000-0000-00004B000000}"/>
    <cellStyle name="Normal 5 5" xfId="49" xr:uid="{00000000-0005-0000-0000-00004C000000}"/>
    <cellStyle name="Normal 5 5 2" xfId="86" xr:uid="{00000000-0005-0000-0000-00004D000000}"/>
    <cellStyle name="Normal 5 6" xfId="68" xr:uid="{00000000-0005-0000-0000-00004E000000}"/>
    <cellStyle name="Normal 6" xfId="25" xr:uid="{00000000-0005-0000-0000-00004F000000}"/>
    <cellStyle name="Normal 7" xfId="24" xr:uid="{00000000-0005-0000-0000-000050000000}"/>
    <cellStyle name="Normal 7 2" xfId="41" xr:uid="{00000000-0005-0000-0000-000051000000}"/>
    <cellStyle name="Normal 7 2 2" xfId="59" xr:uid="{00000000-0005-0000-0000-000052000000}"/>
    <cellStyle name="Normal 7 2 2 2" xfId="96" xr:uid="{00000000-0005-0000-0000-000053000000}"/>
    <cellStyle name="Normal 7 2 3" xfId="78" xr:uid="{00000000-0005-0000-0000-000054000000}"/>
    <cellStyle name="Normal 7 3" xfId="50" xr:uid="{00000000-0005-0000-0000-000055000000}"/>
    <cellStyle name="Normal 7 3 2" xfId="87" xr:uid="{00000000-0005-0000-0000-000056000000}"/>
    <cellStyle name="Normal 7 4" xfId="69" xr:uid="{00000000-0005-0000-0000-000057000000}"/>
    <cellStyle name="Percent 2" xfId="20" xr:uid="{00000000-0005-0000-0000-000058000000}"/>
    <cellStyle name="Percent 2 2" xfId="21" xr:uid="{00000000-0005-0000-0000-000059000000}"/>
    <cellStyle name="Percent 3" xfId="26" xr:uid="{00000000-0005-0000-0000-00005A000000}"/>
    <cellStyle name="Percent 4" xfId="33" xr:uid="{00000000-0005-0000-0000-00005B000000}"/>
    <cellStyle name="Percent 4 2" xfId="46" xr:uid="{00000000-0005-0000-0000-00005C000000}"/>
    <cellStyle name="Percent 4 2 2" xfId="64" xr:uid="{00000000-0005-0000-0000-00005D000000}"/>
    <cellStyle name="Percent 4 2 2 2" xfId="101" xr:uid="{00000000-0005-0000-0000-00005E000000}"/>
    <cellStyle name="Percent 4 2 3" xfId="83" xr:uid="{00000000-0005-0000-0000-00005F000000}"/>
    <cellStyle name="Percent 4 3" xfId="55" xr:uid="{00000000-0005-0000-0000-000060000000}"/>
    <cellStyle name="Percent 4 3 2" xfId="92" xr:uid="{00000000-0005-0000-0000-000061000000}"/>
    <cellStyle name="Percent 4 4" xfId="74" xr:uid="{00000000-0005-0000-0000-000062000000}"/>
    <cellStyle name="Prozent 2" xfId="37" xr:uid="{00000000-0005-0000-0000-000063000000}"/>
    <cellStyle name="Standard" xfId="0" builtinId="0"/>
    <cellStyle name="Standard 2" xfId="22" xr:uid="{00000000-0005-0000-0000-000065000000}"/>
    <cellStyle name="Standard 2 2" xfId="23" xr:uid="{00000000-0005-0000-0000-000066000000}"/>
    <cellStyle name="Standard 3" xfId="103" xr:uid="{00000000-0005-0000-0000-000067000000}"/>
    <cellStyle name="Währung 2" xfId="38" xr:uid="{00000000-0005-0000-0000-000068000000}"/>
  </cellStyles>
  <dxfs count="20">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92D050"/>
        </patternFill>
      </fill>
    </dxf>
    <dxf>
      <fill>
        <patternFill>
          <bgColor theme="5" tint="0.79998168889431442"/>
        </patternFill>
      </fill>
    </dxf>
    <dxf>
      <fill>
        <patternFill>
          <bgColor rgb="FF92D050"/>
        </patternFill>
      </fill>
    </dxf>
    <dxf>
      <fill>
        <patternFill>
          <bgColor rgb="FF92D050"/>
        </patternFill>
      </fill>
    </dxf>
    <dxf>
      <fill>
        <patternFill>
          <bgColor theme="5" tint="0.79998168889431442"/>
        </patternFill>
      </fill>
    </dxf>
    <dxf>
      <fill>
        <patternFill>
          <bgColor rgb="FFF2DCDB"/>
        </patternFill>
      </fill>
    </dxf>
    <dxf>
      <fill>
        <patternFill>
          <bgColor rgb="FFCCFFFF"/>
        </patternFill>
      </fill>
    </dxf>
    <dxf>
      <fill>
        <patternFill>
          <bgColor theme="5" tint="0.79998168889431442"/>
        </patternFill>
      </fill>
    </dxf>
    <dxf>
      <fill>
        <patternFill>
          <bgColor rgb="FF92D050"/>
        </patternFill>
      </fill>
    </dxf>
    <dxf>
      <fill>
        <patternFill>
          <bgColor rgb="FF92D050"/>
        </patternFill>
      </fill>
    </dxf>
    <dxf>
      <fill>
        <patternFill>
          <bgColor rgb="FF92D050"/>
        </patternFill>
      </fill>
    </dxf>
    <dxf>
      <fill>
        <patternFill>
          <bgColor theme="5" tint="0.79998168889431442"/>
        </patternFill>
      </fill>
    </dxf>
    <dxf>
      <fill>
        <patternFill>
          <bgColor rgb="FF92D050"/>
        </patternFill>
      </fill>
    </dxf>
  </dxfs>
  <tableStyles count="0" defaultTableStyle="TableStyleMedium9" defaultPivotStyle="PivotStyleLight16"/>
  <colors>
    <mruColors>
      <color rgb="FFF2DCDB"/>
      <color rgb="FFFF99CC"/>
      <color rgb="FFCCFFCC"/>
      <color rgb="FFCDFFFF"/>
      <color rgb="FFCCFFFF"/>
      <color rgb="FFF6862A"/>
      <color rgb="FFFF0000"/>
      <color rgb="FFFFFF00"/>
      <color rgb="FFF79747"/>
      <color rgb="FFF6882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144779</xdr:colOff>
      <xdr:row>0</xdr:row>
      <xdr:rowOff>22860</xdr:rowOff>
    </xdr:from>
    <xdr:to>
      <xdr:col>1</xdr:col>
      <xdr:colOff>1783080</xdr:colOff>
      <xdr:row>1</xdr:row>
      <xdr:rowOff>198152</xdr:rowOff>
    </xdr:to>
    <xdr:pic>
      <xdr:nvPicPr>
        <xdr:cNvPr id="3" name="Picture 2" descr="SiglaConti.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44779" y="22860"/>
          <a:ext cx="1882141" cy="3734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315685</xdr:colOff>
      <xdr:row>1</xdr:row>
      <xdr:rowOff>10886</xdr:rowOff>
    </xdr:from>
    <xdr:to>
      <xdr:col>1</xdr:col>
      <xdr:colOff>2433880</xdr:colOff>
      <xdr:row>2</xdr:row>
      <xdr:rowOff>177469</xdr:rowOff>
    </xdr:to>
    <xdr:pic>
      <xdr:nvPicPr>
        <xdr:cNvPr id="2" name="Picture 2" descr="SiglaConti.png">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220435" y="77561"/>
          <a:ext cx="2095229" cy="3570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150495</xdr:colOff>
      <xdr:row>0</xdr:row>
      <xdr:rowOff>26670</xdr:rowOff>
    </xdr:from>
    <xdr:to>
      <xdr:col>1</xdr:col>
      <xdr:colOff>769508</xdr:colOff>
      <xdr:row>1</xdr:row>
      <xdr:rowOff>190229</xdr:rowOff>
    </xdr:to>
    <xdr:pic>
      <xdr:nvPicPr>
        <xdr:cNvPr id="4" name="Picture 3" descr="SiglaConti.pn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stretch>
          <a:fillRect/>
        </a:stretch>
      </xdr:blipFill>
      <xdr:spPr>
        <a:xfrm>
          <a:off x="150495" y="26670"/>
          <a:ext cx="1882141" cy="361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150495</xdr:colOff>
      <xdr:row>0</xdr:row>
      <xdr:rowOff>26670</xdr:rowOff>
    </xdr:from>
    <xdr:to>
      <xdr:col>1</xdr:col>
      <xdr:colOff>859156</xdr:colOff>
      <xdr:row>1</xdr:row>
      <xdr:rowOff>190229</xdr:rowOff>
    </xdr:to>
    <xdr:pic>
      <xdr:nvPicPr>
        <xdr:cNvPr id="2" name="Picture 3" descr="SiglaConti.png">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stretch>
          <a:fillRect/>
        </a:stretch>
      </xdr:blipFill>
      <xdr:spPr>
        <a:xfrm>
          <a:off x="150495" y="26670"/>
          <a:ext cx="1432561" cy="36167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4.bin"/><Relationship Id="rId1" Type="http://schemas.openxmlformats.org/officeDocument/2006/relationships/hyperlink" Target="http://adas-jenkins-nightly:8080/view/Mainstream_QAC/job/MFC431_Nightly_DPU_Static_Test/" TargetMode="Externa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HeaderPage">
    <pageSetUpPr fitToPage="1"/>
  </sheetPr>
  <dimension ref="A1:M38"/>
  <sheetViews>
    <sheetView showGridLines="0" tabSelected="1" zoomScale="80" zoomScaleNormal="80" workbookViewId="0">
      <selection activeCell="C15" sqref="C15:D15"/>
    </sheetView>
  </sheetViews>
  <sheetFormatPr baseColWidth="10" defaultColWidth="9.140625" defaultRowHeight="12.75" x14ac:dyDescent="0.2"/>
  <cols>
    <col min="1" max="1" width="3.5703125" customWidth="1"/>
    <col min="2" max="2" width="33.85546875" customWidth="1"/>
    <col min="3" max="3" width="27" customWidth="1"/>
    <col min="4" max="4" width="36.5703125" customWidth="1"/>
    <col min="5" max="5" width="16.140625" customWidth="1"/>
    <col min="6" max="6" width="9.7109375" customWidth="1"/>
    <col min="7" max="7" width="25.140625" customWidth="1"/>
    <col min="8" max="8" width="7.5703125" customWidth="1"/>
  </cols>
  <sheetData>
    <row r="1" spans="1:8" ht="15.75" x14ac:dyDescent="0.25">
      <c r="A1" s="38"/>
      <c r="B1" s="45"/>
      <c r="C1" s="180"/>
      <c r="D1" s="180"/>
      <c r="E1" s="181"/>
      <c r="F1" s="184" t="s">
        <v>3</v>
      </c>
      <c r="G1" s="185"/>
      <c r="H1" s="185"/>
    </row>
    <row r="2" spans="1:8" ht="16.5" customHeight="1" x14ac:dyDescent="0.25">
      <c r="A2" s="39"/>
      <c r="B2" s="46"/>
      <c r="C2" s="182"/>
      <c r="D2" s="182"/>
      <c r="E2" s="183"/>
      <c r="F2" s="186" t="str">
        <f>component_name</f>
        <v>HLA HeadLightAssist</v>
      </c>
      <c r="G2" s="187"/>
      <c r="H2" s="187"/>
    </row>
    <row r="3" spans="1:8" ht="16.5" customHeight="1" x14ac:dyDescent="0.25">
      <c r="A3" s="6"/>
      <c r="B3" s="8"/>
      <c r="C3" s="9"/>
      <c r="D3" s="9"/>
      <c r="E3" s="9"/>
      <c r="F3" s="10"/>
      <c r="G3" s="10"/>
    </row>
    <row r="4" spans="1:8" x14ac:dyDescent="0.2">
      <c r="A4" s="7" t="s">
        <v>23</v>
      </c>
      <c r="C4" s="191" t="s">
        <v>42</v>
      </c>
      <c r="D4" s="192"/>
      <c r="E4" s="192"/>
    </row>
    <row r="6" spans="1:8" x14ac:dyDescent="0.2">
      <c r="F6" s="40" t="s">
        <v>1</v>
      </c>
      <c r="G6" s="43" t="s">
        <v>21</v>
      </c>
    </row>
    <row r="7" spans="1:8" ht="15" customHeight="1" x14ac:dyDescent="0.2">
      <c r="B7" s="33"/>
      <c r="F7" s="42"/>
      <c r="G7" s="44" t="s">
        <v>22</v>
      </c>
    </row>
    <row r="8" spans="1:8" x14ac:dyDescent="0.2">
      <c r="B8" s="33"/>
    </row>
    <row r="10" spans="1:8" ht="26.25" x14ac:dyDescent="0.4">
      <c r="A10" s="193" t="s">
        <v>6</v>
      </c>
      <c r="B10" s="193"/>
      <c r="C10" s="193"/>
      <c r="D10" s="193"/>
      <c r="E10" s="193"/>
      <c r="F10" s="193"/>
      <c r="G10" s="193"/>
    </row>
    <row r="11" spans="1:8" ht="18" customHeight="1" x14ac:dyDescent="0.2"/>
    <row r="12" spans="1:8" ht="25.5" x14ac:dyDescent="0.35">
      <c r="A12" s="188" t="s">
        <v>172</v>
      </c>
      <c r="B12" s="188"/>
      <c r="C12" s="188"/>
      <c r="D12" s="188"/>
      <c r="E12" s="188"/>
      <c r="F12" s="188"/>
      <c r="G12" s="188"/>
      <c r="H12" s="188"/>
    </row>
    <row r="13" spans="1:8" ht="25.5" x14ac:dyDescent="0.35">
      <c r="A13" s="188"/>
      <c r="B13" s="188"/>
      <c r="C13" s="188"/>
      <c r="D13" s="188"/>
      <c r="E13" s="188"/>
      <c r="F13" s="188"/>
      <c r="G13" s="188"/>
      <c r="H13" s="188"/>
    </row>
    <row r="14" spans="1:8" ht="25.5" x14ac:dyDescent="0.35">
      <c r="A14" s="11"/>
      <c r="B14" s="11"/>
      <c r="C14" s="11"/>
      <c r="D14" s="11"/>
      <c r="E14" s="11"/>
      <c r="F14" s="11"/>
      <c r="G14" s="11"/>
    </row>
    <row r="15" spans="1:8" ht="15" x14ac:dyDescent="0.2">
      <c r="A15" s="5"/>
      <c r="B15" s="16" t="s">
        <v>9</v>
      </c>
      <c r="C15" s="191" t="s">
        <v>173</v>
      </c>
      <c r="D15" s="191"/>
      <c r="E15" s="3"/>
      <c r="F15" s="3"/>
      <c r="G15" s="3"/>
    </row>
    <row r="16" spans="1:8" ht="15.75" x14ac:dyDescent="0.25">
      <c r="A16" s="2"/>
      <c r="B16" s="1"/>
      <c r="C16" s="14"/>
      <c r="D16" s="14"/>
    </row>
    <row r="17" spans="1:13" ht="15.75" x14ac:dyDescent="0.25">
      <c r="A17" s="2"/>
      <c r="B17" s="1"/>
      <c r="C17" s="14"/>
      <c r="D17" s="14"/>
    </row>
    <row r="18" spans="1:13" x14ac:dyDescent="0.2">
      <c r="C18" s="12"/>
      <c r="D18" s="12"/>
    </row>
    <row r="19" spans="1:13" ht="15.75" x14ac:dyDescent="0.25">
      <c r="A19" s="37"/>
      <c r="B19" s="13"/>
      <c r="C19" s="12"/>
      <c r="D19" s="12"/>
      <c r="M19" s="4"/>
    </row>
    <row r="20" spans="1:13" x14ac:dyDescent="0.2">
      <c r="A20" s="15"/>
      <c r="B20" s="16"/>
      <c r="C20" s="190"/>
      <c r="D20" s="190"/>
      <c r="H20" s="35"/>
    </row>
    <row r="21" spans="1:13" x14ac:dyDescent="0.2">
      <c r="A21" s="15"/>
      <c r="B21" s="16"/>
      <c r="C21" s="190"/>
      <c r="D21" s="190"/>
      <c r="H21" s="35"/>
    </row>
    <row r="22" spans="1:13" x14ac:dyDescent="0.2">
      <c r="A22" s="15"/>
      <c r="B22" s="16"/>
      <c r="C22" s="190"/>
      <c r="D22" s="190"/>
      <c r="F22" s="35"/>
      <c r="G22" s="35"/>
      <c r="H22" s="35"/>
    </row>
    <row r="23" spans="1:13" x14ac:dyDescent="0.2">
      <c r="A23" s="15"/>
      <c r="B23" s="16" t="s">
        <v>29</v>
      </c>
      <c r="C23" s="189" t="s">
        <v>171</v>
      </c>
      <c r="D23" s="189"/>
    </row>
    <row r="24" spans="1:13" x14ac:dyDescent="0.2">
      <c r="A24" s="15"/>
      <c r="B24" s="16"/>
      <c r="C24" s="190"/>
      <c r="D24" s="190"/>
    </row>
    <row r="25" spans="1:13" x14ac:dyDescent="0.2">
      <c r="A25" s="15"/>
      <c r="B25" s="19"/>
      <c r="C25" s="190"/>
      <c r="D25" s="190"/>
    </row>
    <row r="26" spans="1:13" x14ac:dyDescent="0.2">
      <c r="A26" s="15"/>
    </row>
    <row r="27" spans="1:13" x14ac:dyDescent="0.2">
      <c r="A27" s="15"/>
    </row>
    <row r="28" spans="1:13" x14ac:dyDescent="0.2">
      <c r="A28" s="15"/>
    </row>
    <row r="29" spans="1:13" x14ac:dyDescent="0.2">
      <c r="A29" s="15"/>
    </row>
    <row r="30" spans="1:13" x14ac:dyDescent="0.2">
      <c r="A30" s="15"/>
    </row>
    <row r="31" spans="1:13" x14ac:dyDescent="0.2">
      <c r="A31" s="15"/>
    </row>
    <row r="32" spans="1:13" x14ac:dyDescent="0.2">
      <c r="A32" s="15"/>
    </row>
    <row r="33" spans="1:1" x14ac:dyDescent="0.2">
      <c r="A33" s="15"/>
    </row>
    <row r="34" spans="1:1" x14ac:dyDescent="0.2">
      <c r="A34" s="15"/>
    </row>
    <row r="35" spans="1:1" x14ac:dyDescent="0.2">
      <c r="A35" s="15"/>
    </row>
    <row r="36" spans="1:1" x14ac:dyDescent="0.2">
      <c r="A36" s="15"/>
    </row>
    <row r="37" spans="1:1" x14ac:dyDescent="0.2">
      <c r="A37" s="15"/>
    </row>
    <row r="38" spans="1:1" x14ac:dyDescent="0.2">
      <c r="A38" s="5"/>
    </row>
  </sheetData>
  <sheetProtection autoFilter="0"/>
  <protectedRanges>
    <protectedRange sqref="C4:D4 A13 C20:C25 D15" name="Range1"/>
    <protectedRange sqref="A12" name="Range1_1"/>
    <protectedRange sqref="C15" name="Range1_2"/>
  </protectedRanges>
  <customSheetViews>
    <customSheetView guid="{976DA78E-630C-4005-9458-307AED3F75F0}" showGridLines="0" fitToPage="1" topLeftCell="A4">
      <selection activeCell="A11" sqref="A11:G11"/>
      <pageMargins left="0.39370078740157483" right="0.27559055118110237" top="0.39370078740157483" bottom="0.39370078740157483" header="0.51181102362204722" footer="0.27559055118110237"/>
      <pageSetup paperSize="9" scale="83" pageOrder="overThenDown" orientation="landscape" r:id="rId1"/>
      <headerFooter alignWithMargins="0">
        <oddFooter>&amp;L________________________________________________
&amp;A&amp;C________________________
- &amp;P of &amp;N -&amp;R________________________________________________
Printed: &amp;D</oddFooter>
      </headerFooter>
    </customSheetView>
  </customSheetViews>
  <mergeCells count="15">
    <mergeCell ref="C23:D23"/>
    <mergeCell ref="C24:D24"/>
    <mergeCell ref="C25:D25"/>
    <mergeCell ref="C4:E4"/>
    <mergeCell ref="C15:D15"/>
    <mergeCell ref="C20:D20"/>
    <mergeCell ref="C21:D21"/>
    <mergeCell ref="C22:D22"/>
    <mergeCell ref="A13:H13"/>
    <mergeCell ref="A10:G10"/>
    <mergeCell ref="C1:E1"/>
    <mergeCell ref="C2:E2"/>
    <mergeCell ref="F1:H1"/>
    <mergeCell ref="F2:H2"/>
    <mergeCell ref="A12:H12"/>
  </mergeCells>
  <phoneticPr fontId="21" type="noConversion"/>
  <pageMargins left="0.39370078740157483" right="0.27559055118110237" top="0.39370078740157483" bottom="0.39370078740157483" header="0.51181102362204722" footer="0.27559055118110237"/>
  <pageSetup paperSize="9" scale="83" pageOrder="overThenDown" orientation="landscape" r:id="rId2"/>
  <headerFooter alignWithMargins="0">
    <oddFooter>&amp;L________________________________________________
&amp;A&amp;C________________________
- &amp;P of &amp;N -&amp;R________________________________________________
Printed: &amp;D</oddFooter>
  </headerFooter>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outlinePr summaryBelow="0"/>
  </sheetPr>
  <dimension ref="A1:O358"/>
  <sheetViews>
    <sheetView showGridLines="0" zoomScale="85" zoomScaleNormal="85" workbookViewId="0">
      <pane xSplit="2" ySplit="10" topLeftCell="C11" activePane="bottomRight" state="frozen"/>
      <selection pane="topRight" activeCell="C1" sqref="C1"/>
      <selection pane="bottomLeft" activeCell="A11" sqref="A11"/>
      <selection pane="bottomRight" activeCell="C13" sqref="C13"/>
    </sheetView>
  </sheetViews>
  <sheetFormatPr baseColWidth="10" defaultColWidth="9.140625" defaultRowHeight="12.75" x14ac:dyDescent="0.2"/>
  <cols>
    <col min="1" max="1" width="68.5703125" style="36" bestFit="1" customWidth="1"/>
    <col min="2" max="2" width="43.7109375" style="36" bestFit="1" customWidth="1"/>
    <col min="3" max="3" width="18.7109375" style="36" customWidth="1"/>
    <col min="4" max="4" width="8.5703125" style="60" bestFit="1" customWidth="1"/>
    <col min="5" max="5" width="13.85546875" style="60" customWidth="1"/>
    <col min="6" max="6" width="10" style="60" customWidth="1"/>
    <col min="7" max="7" width="11.140625" style="60" customWidth="1"/>
    <col min="8" max="8" width="13.7109375" style="60" customWidth="1"/>
    <col min="9" max="9" width="10.140625" style="60" customWidth="1"/>
    <col min="10" max="10" width="11" style="60" customWidth="1"/>
    <col min="11" max="11" width="17.5703125" style="60" customWidth="1"/>
    <col min="12" max="12" width="15.5703125" style="60" customWidth="1"/>
    <col min="13" max="13" width="46" style="36" customWidth="1"/>
    <col min="14" max="14" width="65.28515625" style="36" customWidth="1"/>
    <col min="15" max="17" width="9.140625" style="36" customWidth="1"/>
    <col min="18" max="16384" width="9.140625" style="36"/>
  </cols>
  <sheetData>
    <row r="1" spans="1:15" ht="5.25" customHeight="1" x14ac:dyDescent="0.2">
      <c r="B1" s="57"/>
      <c r="C1" s="58"/>
      <c r="D1" s="59"/>
      <c r="E1" s="59"/>
      <c r="F1" s="59"/>
      <c r="G1" s="59"/>
      <c r="H1" s="59"/>
      <c r="I1" s="59"/>
      <c r="J1" s="59"/>
      <c r="K1" s="59"/>
    </row>
    <row r="2" spans="1:15" s="61" customFormat="1" ht="15" customHeight="1" x14ac:dyDescent="0.25">
      <c r="B2" s="199"/>
      <c r="C2" s="200"/>
      <c r="D2" s="203"/>
      <c r="E2" s="203"/>
      <c r="F2" s="203"/>
      <c r="G2" s="62"/>
      <c r="H2" s="204" t="s">
        <v>3</v>
      </c>
      <c r="I2" s="205"/>
      <c r="J2" s="63"/>
      <c r="K2" s="64" t="s">
        <v>1</v>
      </c>
      <c r="L2" s="65" t="s">
        <v>21</v>
      </c>
    </row>
    <row r="3" spans="1:15" s="61" customFormat="1" ht="15" customHeight="1" x14ac:dyDescent="0.25">
      <c r="B3" s="201"/>
      <c r="C3" s="202"/>
      <c r="D3" s="206"/>
      <c r="E3" s="206"/>
      <c r="F3" s="206"/>
      <c r="G3" s="41"/>
      <c r="H3" s="207" t="str">
        <f>component_name</f>
        <v>HLA HeadLightAssist</v>
      </c>
      <c r="I3" s="208"/>
      <c r="J3" s="63"/>
      <c r="K3" s="66"/>
      <c r="L3" s="67" t="s">
        <v>22</v>
      </c>
    </row>
    <row r="4" spans="1:15" s="61" customFormat="1" ht="15" customHeight="1" thickBot="1" x14ac:dyDescent="0.3">
      <c r="B4" s="68"/>
      <c r="C4" s="68"/>
      <c r="D4" s="69"/>
      <c r="E4" s="69"/>
      <c r="F4" s="69"/>
      <c r="G4" s="69"/>
      <c r="H4" s="70"/>
      <c r="I4" s="70"/>
      <c r="J4" s="70"/>
      <c r="K4" s="71"/>
      <c r="L4" s="72"/>
    </row>
    <row r="5" spans="1:15" s="61" customFormat="1" ht="42" customHeight="1" x14ac:dyDescent="0.2">
      <c r="B5" s="73" t="s">
        <v>382</v>
      </c>
      <c r="C5" s="74" t="s">
        <v>383</v>
      </c>
      <c r="D5" s="52" t="s">
        <v>0</v>
      </c>
      <c r="E5" s="52" t="s">
        <v>13</v>
      </c>
      <c r="F5" s="211" t="s">
        <v>381</v>
      </c>
      <c r="G5" s="212"/>
      <c r="H5" s="52" t="s">
        <v>41</v>
      </c>
      <c r="I5" s="52" t="s">
        <v>17</v>
      </c>
      <c r="J5" s="52" t="s">
        <v>18</v>
      </c>
      <c r="K5" s="52" t="s">
        <v>19</v>
      </c>
      <c r="L5" s="52" t="s">
        <v>37</v>
      </c>
      <c r="M5" s="52" t="s">
        <v>102</v>
      </c>
    </row>
    <row r="6" spans="1:15" s="75" customFormat="1" ht="24.75" customHeight="1" thickBot="1" x14ac:dyDescent="0.25">
      <c r="B6" s="73" t="s">
        <v>385</v>
      </c>
      <c r="C6" s="74" t="s">
        <v>384</v>
      </c>
      <c r="D6" s="50" t="str">
        <f>CHECK_PERCENTAGE(4)</f>
        <v>1</v>
      </c>
      <c r="E6" s="53" t="str">
        <f>CHECK_REVIEW(5)</f>
        <v>1</v>
      </c>
      <c r="F6" s="53" t="str">
        <f>CHECK_QAC(6)</f>
        <v>0</v>
      </c>
      <c r="G6" s="53" t="str">
        <f>CHECK_QAC(7)</f>
        <v>0</v>
      </c>
      <c r="H6" s="56" t="str">
        <f>CHECK_REVIEW(8)</f>
        <v>1</v>
      </c>
      <c r="I6" s="53" t="str">
        <f>CHECK_PERCENTAGE(9)</f>
        <v>1</v>
      </c>
      <c r="J6" s="53" t="str">
        <f>CHECK_PERCENTAGE(10)</f>
        <v>1</v>
      </c>
      <c r="K6" s="53" t="str">
        <f>CHECK_PERCENTAGE(11)</f>
        <v>1</v>
      </c>
      <c r="L6" s="56" t="str">
        <f>CHECK_REVIEW(12)</f>
        <v>1</v>
      </c>
      <c r="M6" s="111" t="str">
        <f>CHECK_COMMENT()</f>
        <v>Nr. NA lines w/o comment: 57</v>
      </c>
    </row>
    <row r="7" spans="1:15" ht="24" customHeight="1" thickBot="1" x14ac:dyDescent="0.25">
      <c r="F7" s="53" t="str">
        <f>SUM_QAC(6)</f>
        <v>0</v>
      </c>
      <c r="G7" s="53" t="str">
        <f>SUM_QAC(7)</f>
        <v>0</v>
      </c>
    </row>
    <row r="8" spans="1:15" ht="18" customHeight="1" thickBot="1" x14ac:dyDescent="0.25">
      <c r="A8" s="209"/>
      <c r="B8" s="210"/>
      <c r="C8" s="210"/>
      <c r="D8" s="210"/>
      <c r="E8" s="210"/>
      <c r="F8" s="210"/>
      <c r="G8" s="210"/>
      <c r="H8" s="210"/>
      <c r="I8" s="210"/>
      <c r="J8" s="210"/>
      <c r="K8" s="210"/>
      <c r="L8" s="210"/>
      <c r="M8" s="210"/>
    </row>
    <row r="9" spans="1:15" ht="39.75" customHeight="1" thickBot="1" x14ac:dyDescent="0.25">
      <c r="A9" s="213" t="s">
        <v>36</v>
      </c>
      <c r="B9" s="214"/>
      <c r="C9" s="217" t="s">
        <v>12</v>
      </c>
      <c r="D9" s="194" t="s">
        <v>39</v>
      </c>
      <c r="E9" s="194" t="s">
        <v>40</v>
      </c>
      <c r="F9" s="197" t="s">
        <v>14</v>
      </c>
      <c r="G9" s="197"/>
      <c r="H9" s="194" t="s">
        <v>32</v>
      </c>
      <c r="I9" s="196" t="s">
        <v>31</v>
      </c>
      <c r="J9" s="197"/>
      <c r="K9" s="197"/>
      <c r="L9" s="198"/>
      <c r="M9" s="194" t="s">
        <v>20</v>
      </c>
    </row>
    <row r="10" spans="1:15" ht="39" thickBot="1" x14ac:dyDescent="0.25">
      <c r="A10" s="215"/>
      <c r="B10" s="216"/>
      <c r="C10" s="218"/>
      <c r="D10" s="195"/>
      <c r="E10" s="195"/>
      <c r="F10" s="34" t="s">
        <v>15</v>
      </c>
      <c r="G10" s="18" t="s">
        <v>16</v>
      </c>
      <c r="H10" s="195"/>
      <c r="I10" s="34" t="s">
        <v>17</v>
      </c>
      <c r="J10" s="56" t="s">
        <v>18</v>
      </c>
      <c r="K10" s="34" t="s">
        <v>19</v>
      </c>
      <c r="L10" s="48" t="s">
        <v>30</v>
      </c>
      <c r="M10" s="195"/>
    </row>
    <row r="11" spans="1:15" ht="13.5" customHeight="1" x14ac:dyDescent="0.2">
      <c r="A11" s="94" t="s">
        <v>63</v>
      </c>
      <c r="B11" s="77" t="s">
        <v>99</v>
      </c>
      <c r="C11" s="47"/>
      <c r="D11" s="51" t="s">
        <v>38</v>
      </c>
      <c r="E11" s="54" t="s">
        <v>38</v>
      </c>
      <c r="F11" s="51" t="s">
        <v>38</v>
      </c>
      <c r="G11" s="51" t="s">
        <v>38</v>
      </c>
      <c r="H11" s="54" t="s">
        <v>38</v>
      </c>
      <c r="I11" s="55" t="s">
        <v>38</v>
      </c>
      <c r="J11" s="55" t="s">
        <v>38</v>
      </c>
      <c r="K11" s="55" t="s">
        <v>38</v>
      </c>
      <c r="L11" s="54" t="s">
        <v>38</v>
      </c>
      <c r="M11" s="76"/>
    </row>
    <row r="12" spans="1:15" ht="13.5" customHeight="1" x14ac:dyDescent="0.2">
      <c r="A12" s="94" t="s">
        <v>178</v>
      </c>
      <c r="B12" s="77" t="s">
        <v>284</v>
      </c>
      <c r="C12" s="177" t="s">
        <v>324</v>
      </c>
      <c r="D12" s="51" t="s">
        <v>38</v>
      </c>
      <c r="E12" s="54" t="s">
        <v>38</v>
      </c>
      <c r="F12" s="51" t="s">
        <v>38</v>
      </c>
      <c r="G12" s="51" t="s">
        <v>38</v>
      </c>
      <c r="H12" s="54" t="s">
        <v>38</v>
      </c>
      <c r="I12" s="55" t="s">
        <v>38</v>
      </c>
      <c r="J12" s="55" t="s">
        <v>38</v>
      </c>
      <c r="K12" s="55" t="s">
        <v>38</v>
      </c>
      <c r="L12" s="54" t="s">
        <v>38</v>
      </c>
      <c r="M12" s="76" t="s">
        <v>286</v>
      </c>
      <c r="N12" s="176" t="s">
        <v>415</v>
      </c>
      <c r="O12" s="36" t="s">
        <v>285</v>
      </c>
    </row>
    <row r="13" spans="1:15" ht="13.5" customHeight="1" x14ac:dyDescent="0.2">
      <c r="A13" s="94" t="s">
        <v>178</v>
      </c>
      <c r="B13" s="77" t="s">
        <v>287</v>
      </c>
      <c r="C13" s="177" t="s">
        <v>195</v>
      </c>
      <c r="D13" s="51" t="s">
        <v>38</v>
      </c>
      <c r="E13" s="54" t="s">
        <v>38</v>
      </c>
      <c r="F13" s="51" t="s">
        <v>38</v>
      </c>
      <c r="G13" s="51" t="s">
        <v>38</v>
      </c>
      <c r="H13" s="54" t="s">
        <v>38</v>
      </c>
      <c r="I13" s="55" t="s">
        <v>38</v>
      </c>
      <c r="J13" s="55" t="s">
        <v>38</v>
      </c>
      <c r="K13" s="55" t="s">
        <v>38</v>
      </c>
      <c r="L13" s="54" t="s">
        <v>38</v>
      </c>
      <c r="M13" s="76" t="s">
        <v>286</v>
      </c>
      <c r="N13" s="176"/>
      <c r="O13" s="36" t="s">
        <v>288</v>
      </c>
    </row>
    <row r="14" spans="1:15" ht="13.5" customHeight="1" x14ac:dyDescent="0.2">
      <c r="A14" s="94" t="s">
        <v>181</v>
      </c>
      <c r="B14" s="77" t="s">
        <v>182</v>
      </c>
      <c r="C14" s="177" t="s">
        <v>358</v>
      </c>
      <c r="D14" s="51" t="s">
        <v>38</v>
      </c>
      <c r="E14" s="54" t="s">
        <v>38</v>
      </c>
      <c r="F14" s="51" t="s">
        <v>38</v>
      </c>
      <c r="G14" s="51" t="s">
        <v>38</v>
      </c>
      <c r="H14" s="54" t="s">
        <v>38</v>
      </c>
      <c r="I14" s="55" t="s">
        <v>38</v>
      </c>
      <c r="J14" s="55" t="s">
        <v>38</v>
      </c>
      <c r="K14" s="55" t="s">
        <v>38</v>
      </c>
      <c r="L14" s="54" t="s">
        <v>38</v>
      </c>
      <c r="M14" s="78" t="s">
        <v>184</v>
      </c>
      <c r="N14" s="176"/>
      <c r="O14" s="36" t="s">
        <v>362</v>
      </c>
    </row>
    <row r="15" spans="1:15" ht="13.5" customHeight="1" x14ac:dyDescent="0.2">
      <c r="A15" s="94" t="s">
        <v>309</v>
      </c>
      <c r="B15" s="77" t="s">
        <v>310</v>
      </c>
      <c r="C15" s="177" t="s">
        <v>409</v>
      </c>
      <c r="D15" s="51">
        <v>1</v>
      </c>
      <c r="E15" s="178">
        <f>HYPERLINK("http://links.conti.de/Review/?ReviewId=10030021",10039301)</f>
        <v>10039301</v>
      </c>
      <c r="F15" s="51">
        <v>0</v>
      </c>
      <c r="G15" s="51">
        <v>0</v>
      </c>
      <c r="H15" s="178">
        <f>HYPERLINK("http://links.conti.de/Review/?ReviewId=10030021",10039301)</f>
        <v>10039301</v>
      </c>
      <c r="I15" s="55" t="s">
        <v>38</v>
      </c>
      <c r="J15" s="55" t="s">
        <v>38</v>
      </c>
      <c r="K15" s="55" t="s">
        <v>38</v>
      </c>
      <c r="L15" s="54" t="s">
        <v>38</v>
      </c>
      <c r="M15" s="78"/>
      <c r="N15" s="176" t="s">
        <v>408</v>
      </c>
      <c r="O15" s="36" t="s">
        <v>311</v>
      </c>
    </row>
    <row r="16" spans="1:15" ht="13.5" customHeight="1" x14ac:dyDescent="0.2">
      <c r="A16" s="94" t="s">
        <v>309</v>
      </c>
      <c r="B16" s="77" t="s">
        <v>312</v>
      </c>
      <c r="C16" s="177" t="s">
        <v>324</v>
      </c>
      <c r="D16" s="51">
        <v>1</v>
      </c>
      <c r="E16" s="178">
        <f t="shared" ref="E16:E21" si="0">HYPERLINK("http://review.rb.de.conti.de:7779/forms/frmservlet?config=review&amp;otherparams=p_review_id=6542376",6542376)</f>
        <v>6542376</v>
      </c>
      <c r="F16" s="51">
        <v>0</v>
      </c>
      <c r="G16" s="51">
        <v>0</v>
      </c>
      <c r="H16" s="178">
        <f t="shared" ref="H16:H21" si="1">HYPERLINK("http://review.rb.de.conti.de:7779/forms/frmservlet?config=review&amp;otherparams=p_review_id=6542335",6542335)</f>
        <v>6542335</v>
      </c>
      <c r="I16" s="55" t="s">
        <v>38</v>
      </c>
      <c r="J16" s="55" t="s">
        <v>38</v>
      </c>
      <c r="K16" s="55" t="s">
        <v>38</v>
      </c>
      <c r="L16" s="54" t="s">
        <v>38</v>
      </c>
      <c r="M16" s="78" t="s">
        <v>180</v>
      </c>
      <c r="N16" s="176"/>
      <c r="O16" s="36" t="s">
        <v>313</v>
      </c>
    </row>
    <row r="17" spans="1:15" ht="13.5" customHeight="1" x14ac:dyDescent="0.2">
      <c r="A17" s="94" t="s">
        <v>309</v>
      </c>
      <c r="B17" s="77" t="s">
        <v>314</v>
      </c>
      <c r="C17" s="177" t="s">
        <v>363</v>
      </c>
      <c r="D17" s="51">
        <v>1</v>
      </c>
      <c r="E17" s="178">
        <f t="shared" si="0"/>
        <v>6542376</v>
      </c>
      <c r="F17" s="51">
        <v>0</v>
      </c>
      <c r="G17" s="51">
        <v>0</v>
      </c>
      <c r="H17" s="178">
        <f t="shared" si="1"/>
        <v>6542335</v>
      </c>
      <c r="I17" s="55" t="s">
        <v>38</v>
      </c>
      <c r="J17" s="55" t="s">
        <v>38</v>
      </c>
      <c r="K17" s="55" t="s">
        <v>38</v>
      </c>
      <c r="L17" s="54" t="s">
        <v>38</v>
      </c>
      <c r="M17" s="78"/>
      <c r="N17" s="176"/>
      <c r="O17" s="36" t="s">
        <v>315</v>
      </c>
    </row>
    <row r="18" spans="1:15" ht="13.5" customHeight="1" x14ac:dyDescent="0.2">
      <c r="A18" s="94" t="s">
        <v>309</v>
      </c>
      <c r="B18" s="77" t="s">
        <v>316</v>
      </c>
      <c r="C18" s="177" t="s">
        <v>357</v>
      </c>
      <c r="D18" s="51">
        <v>1</v>
      </c>
      <c r="E18" s="178">
        <f t="shared" si="0"/>
        <v>6542376</v>
      </c>
      <c r="F18" s="51">
        <v>0</v>
      </c>
      <c r="G18" s="51">
        <v>0</v>
      </c>
      <c r="H18" s="178">
        <f t="shared" si="1"/>
        <v>6542335</v>
      </c>
      <c r="I18" s="55" t="s">
        <v>38</v>
      </c>
      <c r="J18" s="55" t="s">
        <v>38</v>
      </c>
      <c r="K18" s="55" t="s">
        <v>38</v>
      </c>
      <c r="L18" s="54" t="s">
        <v>38</v>
      </c>
      <c r="M18" s="78" t="s">
        <v>180</v>
      </c>
      <c r="N18" s="176"/>
      <c r="O18" s="36" t="s">
        <v>317</v>
      </c>
    </row>
    <row r="19" spans="1:15" ht="13.5" customHeight="1" x14ac:dyDescent="0.2">
      <c r="A19" s="94" t="s">
        <v>185</v>
      </c>
      <c r="B19" s="77" t="s">
        <v>186</v>
      </c>
      <c r="C19" s="177" t="s">
        <v>319</v>
      </c>
      <c r="D19" s="51">
        <v>1</v>
      </c>
      <c r="E19" s="178">
        <f t="shared" si="0"/>
        <v>6542376</v>
      </c>
      <c r="F19" s="51">
        <v>0</v>
      </c>
      <c r="G19" s="51">
        <v>0</v>
      </c>
      <c r="H19" s="178">
        <f t="shared" si="1"/>
        <v>6542335</v>
      </c>
      <c r="I19" s="55" t="s">
        <v>38</v>
      </c>
      <c r="J19" s="55" t="s">
        <v>38</v>
      </c>
      <c r="K19" s="55" t="s">
        <v>38</v>
      </c>
      <c r="L19" s="54" t="s">
        <v>38</v>
      </c>
      <c r="M19" s="76"/>
      <c r="N19" s="176"/>
      <c r="O19" s="36" t="s">
        <v>188</v>
      </c>
    </row>
    <row r="20" spans="1:15" ht="13.5" customHeight="1" x14ac:dyDescent="0.2">
      <c r="A20" s="94" t="s">
        <v>185</v>
      </c>
      <c r="B20" s="77" t="s">
        <v>189</v>
      </c>
      <c r="C20" s="177" t="s">
        <v>257</v>
      </c>
      <c r="D20" s="51">
        <v>1</v>
      </c>
      <c r="E20" s="178">
        <f t="shared" si="0"/>
        <v>6542376</v>
      </c>
      <c r="F20" s="51">
        <v>0</v>
      </c>
      <c r="G20" s="51">
        <v>0</v>
      </c>
      <c r="H20" s="178">
        <f t="shared" si="1"/>
        <v>6542335</v>
      </c>
      <c r="I20" s="55" t="s">
        <v>38</v>
      </c>
      <c r="J20" s="55" t="s">
        <v>38</v>
      </c>
      <c r="K20" s="55" t="s">
        <v>38</v>
      </c>
      <c r="L20" s="54" t="s">
        <v>38</v>
      </c>
      <c r="M20" s="76" t="s">
        <v>180</v>
      </c>
      <c r="N20" s="176"/>
      <c r="O20" s="36" t="s">
        <v>190</v>
      </c>
    </row>
    <row r="21" spans="1:15" ht="13.5" customHeight="1" x14ac:dyDescent="0.2">
      <c r="A21" s="94" t="s">
        <v>191</v>
      </c>
      <c r="B21" s="77" t="s">
        <v>192</v>
      </c>
      <c r="C21" s="177" t="s">
        <v>283</v>
      </c>
      <c r="D21" s="51">
        <v>1</v>
      </c>
      <c r="E21" s="178">
        <f t="shared" si="0"/>
        <v>6542376</v>
      </c>
      <c r="F21" s="51">
        <v>0</v>
      </c>
      <c r="G21" s="51">
        <v>0</v>
      </c>
      <c r="H21" s="178">
        <f t="shared" si="1"/>
        <v>6542335</v>
      </c>
      <c r="I21" s="55" t="s">
        <v>38</v>
      </c>
      <c r="J21" s="55" t="s">
        <v>38</v>
      </c>
      <c r="K21" s="55" t="s">
        <v>38</v>
      </c>
      <c r="L21" s="54" t="s">
        <v>38</v>
      </c>
      <c r="M21" s="76" t="s">
        <v>180</v>
      </c>
      <c r="N21" s="176"/>
      <c r="O21" s="36" t="s">
        <v>193</v>
      </c>
    </row>
    <row r="22" spans="1:15" ht="13.5" customHeight="1" x14ac:dyDescent="0.2">
      <c r="A22" s="94" t="s">
        <v>391</v>
      </c>
      <c r="B22" s="77" t="s">
        <v>310</v>
      </c>
      <c r="C22" s="177" t="s">
        <v>411</v>
      </c>
      <c r="D22" s="51">
        <v>1</v>
      </c>
      <c r="E22" s="178">
        <f>HYPERLINK("http://links.conti.de/Review/?ReviewId=10030021",10039301)</f>
        <v>10039301</v>
      </c>
      <c r="F22" s="51">
        <v>0</v>
      </c>
      <c r="G22" s="51">
        <v>0</v>
      </c>
      <c r="H22" s="178">
        <f>HYPERLINK("http://links.conti.de/Review/?ReviewId=10030021",10039301)</f>
        <v>10039301</v>
      </c>
      <c r="I22" s="55" t="s">
        <v>38</v>
      </c>
      <c r="J22" s="55" t="s">
        <v>38</v>
      </c>
      <c r="K22" s="55" t="s">
        <v>38</v>
      </c>
      <c r="L22" s="55" t="s">
        <v>38</v>
      </c>
      <c r="M22" s="76"/>
      <c r="N22" s="176" t="s">
        <v>410</v>
      </c>
      <c r="O22" s="36" t="s">
        <v>311</v>
      </c>
    </row>
    <row r="23" spans="1:15" ht="13.5" customHeight="1" x14ac:dyDescent="0.2">
      <c r="A23" s="94" t="s">
        <v>391</v>
      </c>
      <c r="B23" s="77" t="s">
        <v>312</v>
      </c>
      <c r="C23" s="177" t="s">
        <v>324</v>
      </c>
      <c r="D23" s="51">
        <v>1</v>
      </c>
      <c r="E23" s="178">
        <f>HYPERLINK("http://review.rb.de.conti.de:7779/forms/frmservlet?config=review&amp;otherparams=p_review_id=7096947",7096947)</f>
        <v>7096947</v>
      </c>
      <c r="F23" s="51">
        <v>0</v>
      </c>
      <c r="G23" s="51">
        <v>0</v>
      </c>
      <c r="H23" s="178">
        <f>HYPERLINK("http://review.rb.de.conti.de:7779/forms/frmservlet?config=review&amp;otherparams=p_review_id=7096914",7096914)</f>
        <v>7096914</v>
      </c>
      <c r="I23" s="55" t="s">
        <v>38</v>
      </c>
      <c r="J23" s="55" t="s">
        <v>38</v>
      </c>
      <c r="K23" s="55" t="s">
        <v>38</v>
      </c>
      <c r="L23" s="54" t="s">
        <v>38</v>
      </c>
      <c r="M23" s="76" t="s">
        <v>180</v>
      </c>
      <c r="N23" s="176"/>
      <c r="O23" s="36" t="s">
        <v>313</v>
      </c>
    </row>
    <row r="24" spans="1:15" ht="13.5" customHeight="1" x14ac:dyDescent="0.2">
      <c r="A24" s="94" t="s">
        <v>391</v>
      </c>
      <c r="B24" s="77" t="s">
        <v>314</v>
      </c>
      <c r="C24" s="177" t="s">
        <v>363</v>
      </c>
      <c r="D24" s="51">
        <v>1</v>
      </c>
      <c r="E24" s="178">
        <f>HYPERLINK("http://review.rb.de.conti.de:7779/forms/frmservlet?config=review&amp;otherparams=p_review_id=7096947",7096947)</f>
        <v>7096947</v>
      </c>
      <c r="F24" s="51">
        <v>0</v>
      </c>
      <c r="G24" s="51">
        <v>0</v>
      </c>
      <c r="H24" s="178">
        <f>HYPERLINK("http://review.rb.de.conti.de:7779/forms/frmservlet?config=review&amp;otherparams=p_review_id=7096914",7096914)</f>
        <v>7096914</v>
      </c>
      <c r="I24" s="55" t="s">
        <v>38</v>
      </c>
      <c r="J24" s="55" t="s">
        <v>38</v>
      </c>
      <c r="K24" s="55" t="s">
        <v>38</v>
      </c>
      <c r="L24" s="55" t="s">
        <v>38</v>
      </c>
      <c r="M24" s="76"/>
      <c r="N24" s="176"/>
      <c r="O24" s="36" t="s">
        <v>315</v>
      </c>
    </row>
    <row r="25" spans="1:15" ht="13.5" customHeight="1" x14ac:dyDescent="0.2">
      <c r="A25" s="94" t="s">
        <v>391</v>
      </c>
      <c r="B25" s="77" t="s">
        <v>316</v>
      </c>
      <c r="C25" s="177" t="s">
        <v>357</v>
      </c>
      <c r="D25" s="51">
        <v>1</v>
      </c>
      <c r="E25" s="178">
        <f>HYPERLINK("http://review.rb.de.conti.de:7779/forms/frmservlet?config=review&amp;otherparams=p_review_id=7096947",7096947)</f>
        <v>7096947</v>
      </c>
      <c r="F25" s="51">
        <v>0</v>
      </c>
      <c r="G25" s="51">
        <v>0</v>
      </c>
      <c r="H25" s="178">
        <f>HYPERLINK("http://review.rb.de.conti.de:7779/forms/frmservlet?config=review&amp;otherparams=p_review_id=7096914",7096914)</f>
        <v>7096914</v>
      </c>
      <c r="I25" s="55" t="s">
        <v>38</v>
      </c>
      <c r="J25" s="55" t="s">
        <v>38</v>
      </c>
      <c r="K25" s="55" t="s">
        <v>38</v>
      </c>
      <c r="L25" s="54" t="s">
        <v>38</v>
      </c>
      <c r="M25" s="76" t="s">
        <v>180</v>
      </c>
      <c r="N25" s="176"/>
      <c r="O25" s="36" t="s">
        <v>317</v>
      </c>
    </row>
    <row r="26" spans="1:15" ht="13.5" customHeight="1" x14ac:dyDescent="0.2">
      <c r="A26" s="94" t="s">
        <v>392</v>
      </c>
      <c r="B26" s="77" t="s">
        <v>186</v>
      </c>
      <c r="C26" s="177" t="s">
        <v>427</v>
      </c>
      <c r="D26" s="51">
        <v>1</v>
      </c>
      <c r="E26" s="178">
        <f>HYPERLINK("http://links.conti.de/Review/?ReviewId=10094254",10094254)</f>
        <v>10094254</v>
      </c>
      <c r="F26" s="51">
        <v>0</v>
      </c>
      <c r="G26" s="51">
        <v>0</v>
      </c>
      <c r="H26" s="178">
        <f>HYPERLINK("http://links.conti.de/Review/?ReviewId=10094254",10094254)</f>
        <v>10094254</v>
      </c>
      <c r="I26" s="55" t="s">
        <v>38</v>
      </c>
      <c r="J26" s="55" t="s">
        <v>38</v>
      </c>
      <c r="K26" s="55" t="s">
        <v>38</v>
      </c>
      <c r="L26" s="55" t="s">
        <v>38</v>
      </c>
      <c r="M26" s="76"/>
      <c r="N26" s="176" t="s">
        <v>426</v>
      </c>
      <c r="O26" s="36" t="s">
        <v>188</v>
      </c>
    </row>
    <row r="27" spans="1:15" ht="13.5" customHeight="1" x14ac:dyDescent="0.2">
      <c r="A27" s="94" t="s">
        <v>392</v>
      </c>
      <c r="B27" s="77" t="s">
        <v>189</v>
      </c>
      <c r="C27" s="177" t="s">
        <v>257</v>
      </c>
      <c r="D27" s="51">
        <v>1</v>
      </c>
      <c r="E27" s="178">
        <f>HYPERLINK("http://review.rb.de.conti.de:7779/forms/frmservlet?config=review&amp;otherparams=p_review_id=7096947",7096947)</f>
        <v>7096947</v>
      </c>
      <c r="F27" s="51">
        <v>0</v>
      </c>
      <c r="G27" s="51">
        <v>0</v>
      </c>
      <c r="H27" s="178">
        <f>HYPERLINK("http://review.rb.de.conti.de:7779/forms/frmservlet?config=review&amp;otherparams=p_review_id=7096914",7096914)</f>
        <v>7096914</v>
      </c>
      <c r="I27" s="55" t="s">
        <v>38</v>
      </c>
      <c r="J27" s="55" t="s">
        <v>38</v>
      </c>
      <c r="K27" s="55" t="s">
        <v>38</v>
      </c>
      <c r="L27" s="54" t="s">
        <v>38</v>
      </c>
      <c r="M27" s="76" t="s">
        <v>180</v>
      </c>
      <c r="N27" s="176"/>
      <c r="O27" s="36" t="s">
        <v>190</v>
      </c>
    </row>
    <row r="28" spans="1:15" ht="13.5" customHeight="1" x14ac:dyDescent="0.2">
      <c r="A28" s="94" t="s">
        <v>393</v>
      </c>
      <c r="B28" s="77" t="s">
        <v>192</v>
      </c>
      <c r="C28" s="177" t="s">
        <v>394</v>
      </c>
      <c r="D28" s="51">
        <v>1</v>
      </c>
      <c r="E28" s="178">
        <f>HYPERLINK("http://review.rb.de.conti.de:7779/forms/frmservlet?config=review&amp;otherparams=p_review_id=7096947",7096947)</f>
        <v>7096947</v>
      </c>
      <c r="F28" s="51">
        <v>0</v>
      </c>
      <c r="G28" s="51">
        <v>0</v>
      </c>
      <c r="H28" s="178">
        <f>HYPERLINK("http://review.rb.de.conti.de:7779/forms/frmservlet?config=review&amp;otherparams=p_review_id=7096914",7096914)</f>
        <v>7096914</v>
      </c>
      <c r="I28" s="55" t="s">
        <v>38</v>
      </c>
      <c r="J28" s="55" t="s">
        <v>38</v>
      </c>
      <c r="K28" s="55" t="s">
        <v>38</v>
      </c>
      <c r="L28" s="54" t="s">
        <v>38</v>
      </c>
      <c r="M28" s="76" t="s">
        <v>180</v>
      </c>
      <c r="N28" s="176"/>
      <c r="O28" s="36" t="s">
        <v>193</v>
      </c>
    </row>
    <row r="29" spans="1:15" ht="13.5" customHeight="1" x14ac:dyDescent="0.2">
      <c r="A29" s="94" t="s">
        <v>320</v>
      </c>
      <c r="B29" s="77" t="s">
        <v>310</v>
      </c>
      <c r="C29" s="177" t="s">
        <v>413</v>
      </c>
      <c r="D29" s="51">
        <v>1</v>
      </c>
      <c r="E29" s="178">
        <f>HYPERLINK("http://links.conti.de/Review/?ReviewId=10030021",10039301)</f>
        <v>10039301</v>
      </c>
      <c r="F29" s="51">
        <v>0</v>
      </c>
      <c r="G29" s="51">
        <v>0</v>
      </c>
      <c r="H29" s="178">
        <f>HYPERLINK("http://links.conti.de/Review/?ReviewId=10030021",10039301)</f>
        <v>10039301</v>
      </c>
      <c r="I29" s="55" t="s">
        <v>38</v>
      </c>
      <c r="J29" s="55" t="s">
        <v>38</v>
      </c>
      <c r="K29" s="55" t="s">
        <v>38</v>
      </c>
      <c r="L29" s="54" t="s">
        <v>38</v>
      </c>
      <c r="M29" s="76"/>
      <c r="N29" s="176" t="s">
        <v>412</v>
      </c>
      <c r="O29" s="36" t="s">
        <v>311</v>
      </c>
    </row>
    <row r="30" spans="1:15" ht="13.5" customHeight="1" x14ac:dyDescent="0.2">
      <c r="A30" s="94" t="s">
        <v>320</v>
      </c>
      <c r="B30" s="77" t="s">
        <v>312</v>
      </c>
      <c r="C30" s="177" t="s">
        <v>324</v>
      </c>
      <c r="D30" s="51">
        <v>1</v>
      </c>
      <c r="E30" s="178">
        <f t="shared" ref="E30:E35" si="2">HYPERLINK("http://review.rb.de.conti.de:7779/forms/frmservlet?config=review&amp;otherparams=p_review_id=6542376",6542376)</f>
        <v>6542376</v>
      </c>
      <c r="F30" s="51">
        <v>0</v>
      </c>
      <c r="G30" s="51">
        <v>0</v>
      </c>
      <c r="H30" s="178">
        <f t="shared" ref="H30:H35" si="3">HYPERLINK("http://review.rb.de.conti.de:7779/forms/frmservlet?config=review&amp;otherparams=p_review_id=6542335",6542335)</f>
        <v>6542335</v>
      </c>
      <c r="I30" s="55" t="s">
        <v>38</v>
      </c>
      <c r="J30" s="55" t="s">
        <v>38</v>
      </c>
      <c r="K30" s="55" t="s">
        <v>38</v>
      </c>
      <c r="L30" s="54" t="s">
        <v>38</v>
      </c>
      <c r="M30" s="76" t="s">
        <v>180</v>
      </c>
      <c r="N30" s="176"/>
      <c r="O30" s="36" t="s">
        <v>313</v>
      </c>
    </row>
    <row r="31" spans="1:15" ht="13.5" customHeight="1" x14ac:dyDescent="0.2">
      <c r="A31" s="94" t="s">
        <v>320</v>
      </c>
      <c r="B31" s="77" t="s">
        <v>314</v>
      </c>
      <c r="C31" s="177" t="s">
        <v>363</v>
      </c>
      <c r="D31" s="51">
        <v>1</v>
      </c>
      <c r="E31" s="178">
        <f t="shared" si="2"/>
        <v>6542376</v>
      </c>
      <c r="F31" s="51">
        <v>0</v>
      </c>
      <c r="G31" s="51">
        <v>0</v>
      </c>
      <c r="H31" s="178">
        <f t="shared" si="3"/>
        <v>6542335</v>
      </c>
      <c r="I31" s="55" t="s">
        <v>38</v>
      </c>
      <c r="J31" s="55" t="s">
        <v>38</v>
      </c>
      <c r="K31" s="55" t="s">
        <v>38</v>
      </c>
      <c r="L31" s="54" t="s">
        <v>38</v>
      </c>
      <c r="M31" s="76"/>
      <c r="N31" s="176"/>
      <c r="O31" s="36" t="s">
        <v>315</v>
      </c>
    </row>
    <row r="32" spans="1:15" ht="13.5" customHeight="1" x14ac:dyDescent="0.2">
      <c r="A32" s="94" t="s">
        <v>320</v>
      </c>
      <c r="B32" s="77" t="s">
        <v>316</v>
      </c>
      <c r="C32" s="177" t="s">
        <v>357</v>
      </c>
      <c r="D32" s="51">
        <v>1</v>
      </c>
      <c r="E32" s="178">
        <f t="shared" si="2"/>
        <v>6542376</v>
      </c>
      <c r="F32" s="51">
        <v>0</v>
      </c>
      <c r="G32" s="51">
        <v>0</v>
      </c>
      <c r="H32" s="178">
        <f t="shared" si="3"/>
        <v>6542335</v>
      </c>
      <c r="I32" s="55" t="s">
        <v>38</v>
      </c>
      <c r="J32" s="55" t="s">
        <v>38</v>
      </c>
      <c r="K32" s="55" t="s">
        <v>38</v>
      </c>
      <c r="L32" s="54" t="s">
        <v>38</v>
      </c>
      <c r="M32" s="76" t="s">
        <v>180</v>
      </c>
      <c r="N32" s="176"/>
      <c r="O32" s="36" t="s">
        <v>317</v>
      </c>
    </row>
    <row r="33" spans="1:15" ht="13.5" customHeight="1" x14ac:dyDescent="0.2">
      <c r="A33" s="94" t="s">
        <v>321</v>
      </c>
      <c r="B33" s="77" t="s">
        <v>186</v>
      </c>
      <c r="C33" s="177" t="s">
        <v>370</v>
      </c>
      <c r="D33" s="51">
        <v>1</v>
      </c>
      <c r="E33" s="178">
        <f t="shared" si="2"/>
        <v>6542376</v>
      </c>
      <c r="F33" s="51">
        <v>0</v>
      </c>
      <c r="G33" s="51">
        <v>0</v>
      </c>
      <c r="H33" s="178">
        <f t="shared" si="3"/>
        <v>6542335</v>
      </c>
      <c r="I33" s="55" t="s">
        <v>38</v>
      </c>
      <c r="J33" s="55" t="s">
        <v>38</v>
      </c>
      <c r="K33" s="55" t="s">
        <v>38</v>
      </c>
      <c r="L33" s="54" t="s">
        <v>38</v>
      </c>
      <c r="M33" s="76"/>
      <c r="N33" s="176"/>
      <c r="O33" s="36" t="s">
        <v>188</v>
      </c>
    </row>
    <row r="34" spans="1:15" ht="13.5" customHeight="1" x14ac:dyDescent="0.2">
      <c r="A34" s="94" t="s">
        <v>321</v>
      </c>
      <c r="B34" s="77" t="s">
        <v>189</v>
      </c>
      <c r="C34" s="177" t="s">
        <v>257</v>
      </c>
      <c r="D34" s="51">
        <v>1</v>
      </c>
      <c r="E34" s="178">
        <f t="shared" si="2"/>
        <v>6542376</v>
      </c>
      <c r="F34" s="51">
        <v>0</v>
      </c>
      <c r="G34" s="51">
        <v>0</v>
      </c>
      <c r="H34" s="178">
        <f t="shared" si="3"/>
        <v>6542335</v>
      </c>
      <c r="I34" s="55" t="s">
        <v>38</v>
      </c>
      <c r="J34" s="55" t="s">
        <v>38</v>
      </c>
      <c r="K34" s="55" t="s">
        <v>38</v>
      </c>
      <c r="L34" s="54" t="s">
        <v>38</v>
      </c>
      <c r="M34" s="76" t="s">
        <v>180</v>
      </c>
      <c r="N34" s="176"/>
      <c r="O34" s="36" t="s">
        <v>190</v>
      </c>
    </row>
    <row r="35" spans="1:15" ht="13.5" customHeight="1" x14ac:dyDescent="0.2">
      <c r="A35" s="94" t="s">
        <v>322</v>
      </c>
      <c r="B35" s="77" t="s">
        <v>192</v>
      </c>
      <c r="C35" s="177" t="s">
        <v>371</v>
      </c>
      <c r="D35" s="51">
        <v>1</v>
      </c>
      <c r="E35" s="178">
        <f t="shared" si="2"/>
        <v>6542376</v>
      </c>
      <c r="F35" s="51">
        <v>0</v>
      </c>
      <c r="G35" s="51">
        <v>0</v>
      </c>
      <c r="H35" s="178">
        <f t="shared" si="3"/>
        <v>6542335</v>
      </c>
      <c r="I35" s="55" t="s">
        <v>38</v>
      </c>
      <c r="J35" s="55" t="s">
        <v>38</v>
      </c>
      <c r="K35" s="55" t="s">
        <v>38</v>
      </c>
      <c r="L35" s="54" t="s">
        <v>38</v>
      </c>
      <c r="M35" s="76" t="s">
        <v>180</v>
      </c>
      <c r="N35" s="176"/>
      <c r="O35" s="36" t="s">
        <v>193</v>
      </c>
    </row>
    <row r="36" spans="1:15" ht="13.5" customHeight="1" x14ac:dyDescent="0.2">
      <c r="A36" s="94" t="s">
        <v>395</v>
      </c>
      <c r="B36" s="77" t="s">
        <v>310</v>
      </c>
      <c r="C36" s="177" t="s">
        <v>420</v>
      </c>
      <c r="D36" s="51">
        <v>1</v>
      </c>
      <c r="E36" s="178">
        <f>HYPERLINK("http://links.conti.de/Review/?ReviewId=10054007",10054007)</f>
        <v>10054007</v>
      </c>
      <c r="F36" s="51">
        <v>0</v>
      </c>
      <c r="G36" s="51">
        <v>0</v>
      </c>
      <c r="H36" s="178">
        <f>HYPERLINK("http://links.conti.de/Review/?ReviewId=10054007",10054007)</f>
        <v>10054007</v>
      </c>
      <c r="I36" s="55" t="s">
        <v>38</v>
      </c>
      <c r="J36" s="55" t="s">
        <v>38</v>
      </c>
      <c r="K36" s="55" t="s">
        <v>38</v>
      </c>
      <c r="L36" s="55" t="s">
        <v>38</v>
      </c>
      <c r="M36" s="76"/>
      <c r="N36" s="176" t="s">
        <v>419</v>
      </c>
      <c r="O36" s="36" t="s">
        <v>311</v>
      </c>
    </row>
    <row r="37" spans="1:15" ht="13.5" customHeight="1" x14ac:dyDescent="0.2">
      <c r="A37" s="94" t="s">
        <v>395</v>
      </c>
      <c r="B37" s="77" t="s">
        <v>312</v>
      </c>
      <c r="C37" s="177" t="s">
        <v>324</v>
      </c>
      <c r="D37" s="51">
        <v>1</v>
      </c>
      <c r="E37" s="178">
        <f>HYPERLINK("http://review.rb.de.conti.de:7779/forms/frmservlet?config=review&amp;otherparams=p_review_id=7096947",7096947)</f>
        <v>7096947</v>
      </c>
      <c r="F37" s="51">
        <v>0</v>
      </c>
      <c r="G37" s="51">
        <v>0</v>
      </c>
      <c r="H37" s="178">
        <f>HYPERLINK("http://review.rb.de.conti.de:7779/forms/frmservlet?config=review&amp;otherparams=p_review_id=7096914",7096914)</f>
        <v>7096914</v>
      </c>
      <c r="I37" s="55" t="s">
        <v>38</v>
      </c>
      <c r="J37" s="55" t="s">
        <v>38</v>
      </c>
      <c r="K37" s="55" t="s">
        <v>38</v>
      </c>
      <c r="L37" s="54" t="s">
        <v>38</v>
      </c>
      <c r="M37" s="76" t="s">
        <v>180</v>
      </c>
      <c r="N37" s="176"/>
      <c r="O37" s="36" t="s">
        <v>313</v>
      </c>
    </row>
    <row r="38" spans="1:15" ht="13.5" customHeight="1" x14ac:dyDescent="0.2">
      <c r="A38" s="94" t="s">
        <v>395</v>
      </c>
      <c r="B38" s="77" t="s">
        <v>314</v>
      </c>
      <c r="C38" s="177" t="s">
        <v>363</v>
      </c>
      <c r="D38" s="51">
        <v>1</v>
      </c>
      <c r="E38" s="178">
        <f>HYPERLINK("http://review.rb.de.conti.de:7779/forms/frmservlet?config=review&amp;otherparams=p_review_id=7096947",7096947)</f>
        <v>7096947</v>
      </c>
      <c r="F38" s="51">
        <v>0</v>
      </c>
      <c r="G38" s="51">
        <v>0</v>
      </c>
      <c r="H38" s="178">
        <f>HYPERLINK("http://review.rb.de.conti.de:7779/forms/frmservlet?config=review&amp;otherparams=p_review_id=7096914",7096914)</f>
        <v>7096914</v>
      </c>
      <c r="I38" s="55" t="s">
        <v>38</v>
      </c>
      <c r="J38" s="55" t="s">
        <v>38</v>
      </c>
      <c r="K38" s="55" t="s">
        <v>38</v>
      </c>
      <c r="L38" s="55" t="s">
        <v>38</v>
      </c>
      <c r="M38" s="76"/>
      <c r="N38" s="176"/>
      <c r="O38" s="36" t="s">
        <v>315</v>
      </c>
    </row>
    <row r="39" spans="1:15" ht="13.5" customHeight="1" x14ac:dyDescent="0.2">
      <c r="A39" s="94" t="s">
        <v>395</v>
      </c>
      <c r="B39" s="77" t="s">
        <v>316</v>
      </c>
      <c r="C39" s="177" t="s">
        <v>357</v>
      </c>
      <c r="D39" s="51">
        <v>1</v>
      </c>
      <c r="E39" s="178">
        <f>HYPERLINK("http://review.rb.de.conti.de:7779/forms/frmservlet?config=review&amp;otherparams=p_review_id=7096947",7096947)</f>
        <v>7096947</v>
      </c>
      <c r="F39" s="51">
        <v>0</v>
      </c>
      <c r="G39" s="51">
        <v>0</v>
      </c>
      <c r="H39" s="178">
        <f>HYPERLINK("http://review.rb.de.conti.de:7779/forms/frmservlet?config=review&amp;otherparams=p_review_id=7096914",7096914)</f>
        <v>7096914</v>
      </c>
      <c r="I39" s="55" t="s">
        <v>38</v>
      </c>
      <c r="J39" s="55" t="s">
        <v>38</v>
      </c>
      <c r="K39" s="55" t="s">
        <v>38</v>
      </c>
      <c r="L39" s="54" t="s">
        <v>38</v>
      </c>
      <c r="M39" s="76" t="s">
        <v>180</v>
      </c>
      <c r="N39" s="176"/>
      <c r="O39" s="36" t="s">
        <v>317</v>
      </c>
    </row>
    <row r="40" spans="1:15" ht="13.5" customHeight="1" x14ac:dyDescent="0.2">
      <c r="A40" s="94" t="s">
        <v>396</v>
      </c>
      <c r="B40" s="77" t="s">
        <v>186</v>
      </c>
      <c r="C40" s="177" t="s">
        <v>407</v>
      </c>
      <c r="D40" s="51">
        <v>1</v>
      </c>
      <c r="E40" s="178">
        <f>HYPERLINK("http://links.conti.de/Review/?ReviewId=10020965",10020965)</f>
        <v>10020965</v>
      </c>
      <c r="F40" s="51">
        <v>0</v>
      </c>
      <c r="G40" s="51">
        <v>0</v>
      </c>
      <c r="H40" s="178">
        <f>HYPERLINK("http://links.conti.de/Review/?ReviewId=10020965",10020965)</f>
        <v>10020965</v>
      </c>
      <c r="I40" s="55" t="s">
        <v>38</v>
      </c>
      <c r="J40" s="55" t="s">
        <v>38</v>
      </c>
      <c r="K40" s="55" t="s">
        <v>38</v>
      </c>
      <c r="L40" s="55" t="s">
        <v>38</v>
      </c>
      <c r="M40" s="76"/>
      <c r="N40" s="176" t="s">
        <v>406</v>
      </c>
      <c r="O40" s="36" t="s">
        <v>188</v>
      </c>
    </row>
    <row r="41" spans="1:15" ht="13.5" customHeight="1" x14ac:dyDescent="0.2">
      <c r="A41" s="94" t="s">
        <v>396</v>
      </c>
      <c r="B41" s="77" t="s">
        <v>189</v>
      </c>
      <c r="C41" s="177" t="s">
        <v>257</v>
      </c>
      <c r="D41" s="51">
        <v>1</v>
      </c>
      <c r="E41" s="178">
        <f>HYPERLINK("http://review.rb.de.conti.de:7779/forms/frmservlet?config=review&amp;otherparams=p_review_id=7096947",7096947)</f>
        <v>7096947</v>
      </c>
      <c r="F41" s="51">
        <v>0</v>
      </c>
      <c r="G41" s="51">
        <v>0</v>
      </c>
      <c r="H41" s="178">
        <f>HYPERLINK("http://review.rb.de.conti.de:7779/forms/frmservlet?config=review&amp;otherparams=p_review_id=7096914",7096914)</f>
        <v>7096914</v>
      </c>
      <c r="I41" s="55" t="s">
        <v>38</v>
      </c>
      <c r="J41" s="55" t="s">
        <v>38</v>
      </c>
      <c r="K41" s="55" t="s">
        <v>38</v>
      </c>
      <c r="L41" s="54" t="s">
        <v>38</v>
      </c>
      <c r="M41" s="76" t="s">
        <v>180</v>
      </c>
      <c r="N41" s="176"/>
      <c r="O41" s="36" t="s">
        <v>190</v>
      </c>
    </row>
    <row r="42" spans="1:15" ht="13.5" customHeight="1" x14ac:dyDescent="0.2">
      <c r="A42" s="94" t="s">
        <v>398</v>
      </c>
      <c r="B42" s="77" t="s">
        <v>192</v>
      </c>
      <c r="C42" s="177" t="s">
        <v>397</v>
      </c>
      <c r="D42" s="51">
        <v>1</v>
      </c>
      <c r="E42" s="178">
        <f>HYPERLINK("http://review.rb.de.conti.de:7779/forms/frmservlet?config=review&amp;otherparams=p_review_id=7110593",7110593)</f>
        <v>7110593</v>
      </c>
      <c r="F42" s="51">
        <v>0</v>
      </c>
      <c r="G42" s="51">
        <v>0</v>
      </c>
      <c r="H42" s="178">
        <f>HYPERLINK("http://review.rb.de.conti.de:7779/forms/frmservlet?config=review&amp;otherparams=p_review_id=7110584",7110584)</f>
        <v>7110584</v>
      </c>
      <c r="I42" s="55" t="s">
        <v>38</v>
      </c>
      <c r="J42" s="55" t="s">
        <v>38</v>
      </c>
      <c r="K42" s="55" t="s">
        <v>38</v>
      </c>
      <c r="L42" s="54" t="s">
        <v>38</v>
      </c>
      <c r="M42" s="76" t="s">
        <v>180</v>
      </c>
      <c r="N42" s="176"/>
      <c r="O42" s="36" t="s">
        <v>193</v>
      </c>
    </row>
    <row r="43" spans="1:15" ht="13.5" customHeight="1" x14ac:dyDescent="0.2">
      <c r="A43" s="94" t="s">
        <v>422</v>
      </c>
      <c r="B43" s="77" t="s">
        <v>310</v>
      </c>
      <c r="C43" s="177" t="s">
        <v>413</v>
      </c>
      <c r="D43" s="51">
        <v>1</v>
      </c>
      <c r="E43" s="178">
        <f>HYPERLINK("http://links.conti.de/Review/?ReviewId=10094254",10094254)</f>
        <v>10094254</v>
      </c>
      <c r="F43" s="51">
        <v>0</v>
      </c>
      <c r="G43" s="51">
        <v>0</v>
      </c>
      <c r="H43" s="178">
        <f>HYPERLINK("http://links.conti.de/Review/?ReviewId=10094254",10094254)</f>
        <v>10094254</v>
      </c>
      <c r="I43" s="55" t="s">
        <v>38</v>
      </c>
      <c r="J43" s="55" t="s">
        <v>38</v>
      </c>
      <c r="K43" s="55" t="s">
        <v>38</v>
      </c>
      <c r="L43" s="55" t="s">
        <v>38</v>
      </c>
      <c r="M43" s="76"/>
      <c r="N43" s="261" t="s">
        <v>402</v>
      </c>
      <c r="O43" s="36" t="s">
        <v>311</v>
      </c>
    </row>
    <row r="44" spans="1:15" ht="13.5" customHeight="1" x14ac:dyDescent="0.2">
      <c r="A44" s="94" t="s">
        <v>422</v>
      </c>
      <c r="B44" s="77" t="s">
        <v>312</v>
      </c>
      <c r="C44" s="177" t="s">
        <v>324</v>
      </c>
      <c r="D44" s="51">
        <v>1</v>
      </c>
      <c r="E44" s="178">
        <f>HYPERLINK("http://links.conti.de/Review/?ReviewId=10094254",10094254)</f>
        <v>10094254</v>
      </c>
      <c r="F44" s="51">
        <v>0</v>
      </c>
      <c r="G44" s="51">
        <v>0</v>
      </c>
      <c r="H44" s="178">
        <f>HYPERLINK("http://links.conti.de/Review/?ReviewId=10094254",10094254)</f>
        <v>10094254</v>
      </c>
      <c r="I44" s="55" t="s">
        <v>38</v>
      </c>
      <c r="J44" s="55" t="s">
        <v>38</v>
      </c>
      <c r="K44" s="55" t="s">
        <v>38</v>
      </c>
      <c r="L44" s="54" t="s">
        <v>38</v>
      </c>
      <c r="M44" s="76" t="s">
        <v>180</v>
      </c>
      <c r="N44" s="261" t="s">
        <v>402</v>
      </c>
      <c r="O44" s="36" t="s">
        <v>313</v>
      </c>
    </row>
    <row r="45" spans="1:15" ht="13.5" customHeight="1" x14ac:dyDescent="0.2">
      <c r="A45" s="94" t="s">
        <v>422</v>
      </c>
      <c r="B45" s="77" t="s">
        <v>314</v>
      </c>
      <c r="C45" s="177" t="s">
        <v>363</v>
      </c>
      <c r="D45" s="51">
        <v>1</v>
      </c>
      <c r="E45" s="178">
        <f>HYPERLINK("http://links.conti.de/Review/?ReviewId=10094254",10094254)</f>
        <v>10094254</v>
      </c>
      <c r="F45" s="51">
        <v>0</v>
      </c>
      <c r="G45" s="51">
        <v>0</v>
      </c>
      <c r="H45" s="178">
        <f>HYPERLINK("http://links.conti.de/Review/?ReviewId=10094254",10094254)</f>
        <v>10094254</v>
      </c>
      <c r="I45" s="55" t="s">
        <v>38</v>
      </c>
      <c r="J45" s="55" t="s">
        <v>38</v>
      </c>
      <c r="K45" s="55" t="s">
        <v>38</v>
      </c>
      <c r="L45" s="55" t="s">
        <v>38</v>
      </c>
      <c r="M45" s="76"/>
      <c r="N45" s="261" t="s">
        <v>402</v>
      </c>
      <c r="O45" s="36" t="s">
        <v>315</v>
      </c>
    </row>
    <row r="46" spans="1:15" ht="13.5" customHeight="1" x14ac:dyDescent="0.2">
      <c r="A46" s="94" t="s">
        <v>422</v>
      </c>
      <c r="B46" s="77" t="s">
        <v>316</v>
      </c>
      <c r="C46" s="177" t="s">
        <v>357</v>
      </c>
      <c r="D46" s="51">
        <v>1</v>
      </c>
      <c r="E46" s="178">
        <f>HYPERLINK("http://links.conti.de/Review/?ReviewId=10094254",10094254)</f>
        <v>10094254</v>
      </c>
      <c r="F46" s="51">
        <v>0</v>
      </c>
      <c r="G46" s="51">
        <v>0</v>
      </c>
      <c r="H46" s="178">
        <f>HYPERLINK("http://links.conti.de/Review/?ReviewId=10094254",10094254)</f>
        <v>10094254</v>
      </c>
      <c r="I46" s="55" t="s">
        <v>38</v>
      </c>
      <c r="J46" s="55" t="s">
        <v>38</v>
      </c>
      <c r="K46" s="55" t="s">
        <v>38</v>
      </c>
      <c r="L46" s="54" t="s">
        <v>38</v>
      </c>
      <c r="M46" s="76" t="s">
        <v>180</v>
      </c>
      <c r="N46" s="261" t="s">
        <v>402</v>
      </c>
      <c r="O46" s="36" t="s">
        <v>317</v>
      </c>
    </row>
    <row r="47" spans="1:15" ht="13.5" customHeight="1" x14ac:dyDescent="0.2">
      <c r="A47" s="94" t="s">
        <v>423</v>
      </c>
      <c r="B47" s="77" t="s">
        <v>186</v>
      </c>
      <c r="C47" s="177" t="s">
        <v>370</v>
      </c>
      <c r="D47" s="51">
        <v>1</v>
      </c>
      <c r="E47" s="178">
        <f>HYPERLINK("http://links.conti.de/Review/?ReviewId=10094254",10094254)</f>
        <v>10094254</v>
      </c>
      <c r="F47" s="51">
        <v>0</v>
      </c>
      <c r="G47" s="51">
        <v>0</v>
      </c>
      <c r="H47" s="178">
        <f>HYPERLINK("http://links.conti.de/Review/?ReviewId=10094254",10094254)</f>
        <v>10094254</v>
      </c>
      <c r="I47" s="55" t="s">
        <v>38</v>
      </c>
      <c r="J47" s="55" t="s">
        <v>38</v>
      </c>
      <c r="K47" s="55" t="s">
        <v>38</v>
      </c>
      <c r="L47" s="55" t="s">
        <v>38</v>
      </c>
      <c r="M47" s="76"/>
      <c r="N47" s="261" t="s">
        <v>402</v>
      </c>
      <c r="O47" s="36" t="s">
        <v>188</v>
      </c>
    </row>
    <row r="48" spans="1:15" ht="13.5" customHeight="1" x14ac:dyDescent="0.2">
      <c r="A48" s="94" t="s">
        <v>423</v>
      </c>
      <c r="B48" s="77" t="s">
        <v>189</v>
      </c>
      <c r="C48" s="177" t="s">
        <v>257</v>
      </c>
      <c r="D48" s="51">
        <v>1</v>
      </c>
      <c r="E48" s="178">
        <f>HYPERLINK("http://links.conti.de/Review/?ReviewId=10094254",10094254)</f>
        <v>10094254</v>
      </c>
      <c r="F48" s="51">
        <v>0</v>
      </c>
      <c r="G48" s="51">
        <v>0</v>
      </c>
      <c r="H48" s="178">
        <f>HYPERLINK("http://links.conti.de/Review/?ReviewId=10094254",10094254)</f>
        <v>10094254</v>
      </c>
      <c r="I48" s="55" t="s">
        <v>38</v>
      </c>
      <c r="J48" s="55" t="s">
        <v>38</v>
      </c>
      <c r="K48" s="55" t="s">
        <v>38</v>
      </c>
      <c r="L48" s="54" t="s">
        <v>38</v>
      </c>
      <c r="M48" s="76" t="s">
        <v>180</v>
      </c>
      <c r="N48" s="261" t="s">
        <v>402</v>
      </c>
      <c r="O48" s="36" t="s">
        <v>190</v>
      </c>
    </row>
    <row r="49" spans="1:15" ht="13.5" customHeight="1" x14ac:dyDescent="0.2">
      <c r="A49" s="94" t="s">
        <v>424</v>
      </c>
      <c r="B49" s="77" t="s">
        <v>192</v>
      </c>
      <c r="C49" s="177" t="s">
        <v>425</v>
      </c>
      <c r="D49" s="51">
        <v>1</v>
      </c>
      <c r="E49" s="178">
        <f>HYPERLINK("http://links.conti.de/Review/?ReviewId=10094254",10094254)</f>
        <v>10094254</v>
      </c>
      <c r="F49" s="51">
        <v>0</v>
      </c>
      <c r="G49" s="51">
        <v>0</v>
      </c>
      <c r="H49" s="178">
        <f>HYPERLINK("http://links.conti.de/Review/?ReviewId=10094254",10094254)</f>
        <v>10094254</v>
      </c>
      <c r="I49" s="55" t="s">
        <v>38</v>
      </c>
      <c r="J49" s="55" t="s">
        <v>38</v>
      </c>
      <c r="K49" s="55" t="s">
        <v>38</v>
      </c>
      <c r="L49" s="54" t="s">
        <v>38</v>
      </c>
      <c r="M49" s="76" t="s">
        <v>180</v>
      </c>
      <c r="N49" s="261" t="s">
        <v>402</v>
      </c>
      <c r="O49" s="36" t="s">
        <v>193</v>
      </c>
    </row>
    <row r="50" spans="1:15" ht="13.5" customHeight="1" x14ac:dyDescent="0.2">
      <c r="A50" s="94" t="s">
        <v>354</v>
      </c>
      <c r="B50" s="77" t="s">
        <v>310</v>
      </c>
      <c r="C50" s="177" t="s">
        <v>409</v>
      </c>
      <c r="D50" s="51">
        <v>1</v>
      </c>
      <c r="E50" s="178">
        <f>HYPERLINK("http://links.conti.de/Review/?ReviewId=10030021",10039301)</f>
        <v>10039301</v>
      </c>
      <c r="F50" s="51">
        <v>0</v>
      </c>
      <c r="G50" s="51">
        <v>0</v>
      </c>
      <c r="H50" s="178">
        <f>HYPERLINK("http://links.conti.de/Review/?ReviewId=10030021",10039301)</f>
        <v>10039301</v>
      </c>
      <c r="I50" s="55" t="s">
        <v>38</v>
      </c>
      <c r="J50" s="55" t="s">
        <v>38</v>
      </c>
      <c r="K50" s="55" t="s">
        <v>38</v>
      </c>
      <c r="L50" s="54" t="s">
        <v>38</v>
      </c>
      <c r="M50" s="76"/>
      <c r="N50" s="176" t="s">
        <v>408</v>
      </c>
      <c r="O50" s="36" t="s">
        <v>311</v>
      </c>
    </row>
    <row r="51" spans="1:15" ht="13.5" customHeight="1" x14ac:dyDescent="0.2">
      <c r="A51" s="94" t="s">
        <v>354</v>
      </c>
      <c r="B51" s="77" t="s">
        <v>312</v>
      </c>
      <c r="C51" s="177" t="s">
        <v>324</v>
      </c>
      <c r="D51" s="51">
        <v>1</v>
      </c>
      <c r="E51" s="178">
        <f>HYPERLINK("http://review.rb.de.conti.de:7779/forms/frmservlet?config=review&amp;otherparams=p_review_id=6542376",6542376)</f>
        <v>6542376</v>
      </c>
      <c r="F51" s="51">
        <v>0</v>
      </c>
      <c r="G51" s="51">
        <v>0</v>
      </c>
      <c r="H51" s="178">
        <f>HYPERLINK("http://review.rb.de.conti.de:7779/forms/frmservlet?config=review&amp;otherparams=p_review_id=6542335",6542335)</f>
        <v>6542335</v>
      </c>
      <c r="I51" s="55" t="s">
        <v>38</v>
      </c>
      <c r="J51" s="55" t="s">
        <v>38</v>
      </c>
      <c r="K51" s="55" t="s">
        <v>38</v>
      </c>
      <c r="L51" s="54" t="s">
        <v>38</v>
      </c>
      <c r="M51" s="76" t="s">
        <v>180</v>
      </c>
      <c r="N51" s="176"/>
      <c r="O51" s="36" t="s">
        <v>313</v>
      </c>
    </row>
    <row r="52" spans="1:15" ht="13.5" customHeight="1" x14ac:dyDescent="0.2">
      <c r="A52" s="94" t="s">
        <v>354</v>
      </c>
      <c r="B52" s="77" t="s">
        <v>314</v>
      </c>
      <c r="C52" s="177" t="s">
        <v>363</v>
      </c>
      <c r="D52" s="51">
        <v>1</v>
      </c>
      <c r="E52" s="178">
        <f>HYPERLINK("http://review.rb.de.conti.de:7779/forms/frmservlet?config=review&amp;otherparams=p_review_id=6542376",6542376)</f>
        <v>6542376</v>
      </c>
      <c r="F52" s="51">
        <v>0</v>
      </c>
      <c r="G52" s="51">
        <v>0</v>
      </c>
      <c r="H52" s="178">
        <f>HYPERLINK("http://review.rb.de.conti.de:7779/forms/frmservlet?config=review&amp;otherparams=p_review_id=6542335",6542335)</f>
        <v>6542335</v>
      </c>
      <c r="I52" s="55" t="s">
        <v>38</v>
      </c>
      <c r="J52" s="55" t="s">
        <v>38</v>
      </c>
      <c r="K52" s="55" t="s">
        <v>38</v>
      </c>
      <c r="L52" s="54" t="s">
        <v>38</v>
      </c>
      <c r="M52" s="76"/>
      <c r="N52" s="176"/>
      <c r="O52" s="36" t="s">
        <v>315</v>
      </c>
    </row>
    <row r="53" spans="1:15" ht="13.5" customHeight="1" x14ac:dyDescent="0.2">
      <c r="A53" s="94" t="s">
        <v>354</v>
      </c>
      <c r="B53" s="77" t="s">
        <v>316</v>
      </c>
      <c r="C53" s="177" t="s">
        <v>357</v>
      </c>
      <c r="D53" s="51">
        <v>1</v>
      </c>
      <c r="E53" s="178">
        <f>HYPERLINK("http://review.rb.de.conti.de:7779/forms/frmservlet?config=review&amp;otherparams=p_review_id=6542376",6542376)</f>
        <v>6542376</v>
      </c>
      <c r="F53" s="51">
        <v>0</v>
      </c>
      <c r="G53" s="51">
        <v>0</v>
      </c>
      <c r="H53" s="178">
        <f>HYPERLINK("http://review.rb.de.conti.de:7779/forms/frmservlet?config=review&amp;otherparams=p_review_id=6542335",6542335)</f>
        <v>6542335</v>
      </c>
      <c r="I53" s="55" t="s">
        <v>38</v>
      </c>
      <c r="J53" s="55" t="s">
        <v>38</v>
      </c>
      <c r="K53" s="55" t="s">
        <v>38</v>
      </c>
      <c r="L53" s="54" t="s">
        <v>38</v>
      </c>
      <c r="M53" s="76" t="s">
        <v>180</v>
      </c>
      <c r="N53" s="176"/>
      <c r="O53" s="36" t="s">
        <v>317</v>
      </c>
    </row>
    <row r="54" spans="1:15" ht="13.5" customHeight="1" x14ac:dyDescent="0.2">
      <c r="A54" s="94" t="s">
        <v>355</v>
      </c>
      <c r="B54" s="77" t="s">
        <v>186</v>
      </c>
      <c r="C54" s="177" t="s">
        <v>399</v>
      </c>
      <c r="D54" s="51">
        <v>1</v>
      </c>
      <c r="E54" s="178">
        <f>HYPERLINK("http://review.rb.de.conti.de:7779/forms/frmservlet?config=review&amp;otherparams=p_review_id=7167463",7167463)</f>
        <v>7167463</v>
      </c>
      <c r="F54" s="51">
        <v>0</v>
      </c>
      <c r="G54" s="51">
        <v>0</v>
      </c>
      <c r="H54" s="178">
        <f>HYPERLINK("http://review.rb.de.conti.de:7779/forms/frmservlet?config=review&amp;otherparams=p_review_id=7167526",7167526)</f>
        <v>7167526</v>
      </c>
      <c r="I54" s="55" t="s">
        <v>38</v>
      </c>
      <c r="J54" s="55" t="s">
        <v>38</v>
      </c>
      <c r="K54" s="55" t="s">
        <v>38</v>
      </c>
      <c r="L54" s="54" t="s">
        <v>38</v>
      </c>
      <c r="M54" s="76"/>
      <c r="N54" s="176"/>
      <c r="O54" s="36" t="s">
        <v>188</v>
      </c>
    </row>
    <row r="55" spans="1:15" ht="13.5" customHeight="1" x14ac:dyDescent="0.2">
      <c r="A55" s="94" t="s">
        <v>355</v>
      </c>
      <c r="B55" s="77" t="s">
        <v>189</v>
      </c>
      <c r="C55" s="177" t="s">
        <v>257</v>
      </c>
      <c r="D55" s="51">
        <v>1</v>
      </c>
      <c r="E55" s="178">
        <f t="shared" ref="E55:E60" si="4">HYPERLINK("http://review.rb.de.conti.de:7779/forms/frmservlet?config=review&amp;otherparams=p_review_id=6542376",6542376)</f>
        <v>6542376</v>
      </c>
      <c r="F55" s="51">
        <v>0</v>
      </c>
      <c r="G55" s="51">
        <v>0</v>
      </c>
      <c r="H55" s="178">
        <f t="shared" ref="H55:H60" si="5">HYPERLINK("http://review.rb.de.conti.de:7779/forms/frmservlet?config=review&amp;otherparams=p_review_id=6542335",6542335)</f>
        <v>6542335</v>
      </c>
      <c r="I55" s="55" t="s">
        <v>38</v>
      </c>
      <c r="J55" s="55" t="s">
        <v>38</v>
      </c>
      <c r="K55" s="55" t="s">
        <v>38</v>
      </c>
      <c r="L55" s="54" t="s">
        <v>38</v>
      </c>
      <c r="M55" s="76" t="s">
        <v>180</v>
      </c>
      <c r="N55" s="176"/>
      <c r="O55" s="36" t="s">
        <v>190</v>
      </c>
    </row>
    <row r="56" spans="1:15" ht="13.5" customHeight="1" x14ac:dyDescent="0.2">
      <c r="A56" s="94" t="s">
        <v>356</v>
      </c>
      <c r="B56" s="77" t="s">
        <v>192</v>
      </c>
      <c r="C56" s="177" t="s">
        <v>372</v>
      </c>
      <c r="D56" s="51">
        <v>1</v>
      </c>
      <c r="E56" s="178">
        <f t="shared" si="4"/>
        <v>6542376</v>
      </c>
      <c r="F56" s="51">
        <v>0</v>
      </c>
      <c r="G56" s="51">
        <v>0</v>
      </c>
      <c r="H56" s="178">
        <f t="shared" si="5"/>
        <v>6542335</v>
      </c>
      <c r="I56" s="55" t="s">
        <v>38</v>
      </c>
      <c r="J56" s="55" t="s">
        <v>38</v>
      </c>
      <c r="K56" s="55" t="s">
        <v>38</v>
      </c>
      <c r="L56" s="54" t="s">
        <v>38</v>
      </c>
      <c r="M56" s="76" t="s">
        <v>180</v>
      </c>
      <c r="N56" s="176"/>
      <c r="O56" s="36" t="s">
        <v>193</v>
      </c>
    </row>
    <row r="57" spans="1:15" ht="13.5" customHeight="1" x14ac:dyDescent="0.2">
      <c r="A57" s="94" t="s">
        <v>359</v>
      </c>
      <c r="B57" s="77" t="s">
        <v>310</v>
      </c>
      <c r="C57" s="177" t="s">
        <v>411</v>
      </c>
      <c r="D57" s="51">
        <v>1</v>
      </c>
      <c r="E57" s="178">
        <f>HYPERLINK("http://links.conti.de/Review/?ReviewId=10030021",10039301)</f>
        <v>10039301</v>
      </c>
      <c r="F57" s="51">
        <v>0</v>
      </c>
      <c r="G57" s="51">
        <v>0</v>
      </c>
      <c r="H57" s="178">
        <f>HYPERLINK("http://links.conti.de/Review/?ReviewId=10030021",10039301)</f>
        <v>10039301</v>
      </c>
      <c r="I57" s="55" t="s">
        <v>38</v>
      </c>
      <c r="J57" s="55" t="s">
        <v>38</v>
      </c>
      <c r="K57" s="55" t="s">
        <v>38</v>
      </c>
      <c r="L57" s="54" t="s">
        <v>38</v>
      </c>
      <c r="M57" s="76"/>
      <c r="N57" s="176" t="s">
        <v>410</v>
      </c>
      <c r="O57" s="36" t="s">
        <v>311</v>
      </c>
    </row>
    <row r="58" spans="1:15" ht="13.5" customHeight="1" x14ac:dyDescent="0.2">
      <c r="A58" s="94" t="s">
        <v>359</v>
      </c>
      <c r="B58" s="77" t="s">
        <v>312</v>
      </c>
      <c r="C58" s="177" t="s">
        <v>324</v>
      </c>
      <c r="D58" s="51">
        <v>1</v>
      </c>
      <c r="E58" s="178">
        <f t="shared" si="4"/>
        <v>6542376</v>
      </c>
      <c r="F58" s="51">
        <v>0</v>
      </c>
      <c r="G58" s="51">
        <v>0</v>
      </c>
      <c r="H58" s="178">
        <f t="shared" si="5"/>
        <v>6542335</v>
      </c>
      <c r="I58" s="55" t="s">
        <v>38</v>
      </c>
      <c r="J58" s="55" t="s">
        <v>38</v>
      </c>
      <c r="K58" s="55" t="s">
        <v>38</v>
      </c>
      <c r="L58" s="54" t="s">
        <v>38</v>
      </c>
      <c r="M58" s="76" t="s">
        <v>180</v>
      </c>
      <c r="N58" s="176"/>
      <c r="O58" s="36" t="s">
        <v>313</v>
      </c>
    </row>
    <row r="59" spans="1:15" ht="13.5" customHeight="1" x14ac:dyDescent="0.2">
      <c r="A59" s="94" t="s">
        <v>359</v>
      </c>
      <c r="B59" s="77" t="s">
        <v>314</v>
      </c>
      <c r="C59" s="177" t="s">
        <v>363</v>
      </c>
      <c r="D59" s="51">
        <v>1</v>
      </c>
      <c r="E59" s="178">
        <f t="shared" si="4"/>
        <v>6542376</v>
      </c>
      <c r="F59" s="51">
        <v>0</v>
      </c>
      <c r="G59" s="51">
        <v>0</v>
      </c>
      <c r="H59" s="178">
        <f t="shared" si="5"/>
        <v>6542335</v>
      </c>
      <c r="I59" s="55" t="s">
        <v>38</v>
      </c>
      <c r="J59" s="55" t="s">
        <v>38</v>
      </c>
      <c r="K59" s="55" t="s">
        <v>38</v>
      </c>
      <c r="L59" s="54" t="s">
        <v>38</v>
      </c>
      <c r="M59" s="76"/>
      <c r="N59" s="176"/>
      <c r="O59" s="36" t="s">
        <v>315</v>
      </c>
    </row>
    <row r="60" spans="1:15" ht="13.5" customHeight="1" x14ac:dyDescent="0.2">
      <c r="A60" s="94" t="s">
        <v>359</v>
      </c>
      <c r="B60" s="77" t="s">
        <v>316</v>
      </c>
      <c r="C60" s="177" t="s">
        <v>357</v>
      </c>
      <c r="D60" s="51">
        <v>1</v>
      </c>
      <c r="E60" s="178">
        <f t="shared" si="4"/>
        <v>6542376</v>
      </c>
      <c r="F60" s="51">
        <v>0</v>
      </c>
      <c r="G60" s="51">
        <v>0</v>
      </c>
      <c r="H60" s="178">
        <f t="shared" si="5"/>
        <v>6542335</v>
      </c>
      <c r="I60" s="55" t="s">
        <v>38</v>
      </c>
      <c r="J60" s="55" t="s">
        <v>38</v>
      </c>
      <c r="K60" s="55" t="s">
        <v>38</v>
      </c>
      <c r="L60" s="54" t="s">
        <v>38</v>
      </c>
      <c r="M60" s="76" t="s">
        <v>180</v>
      </c>
      <c r="N60" s="176"/>
      <c r="O60" s="36" t="s">
        <v>317</v>
      </c>
    </row>
    <row r="61" spans="1:15" ht="13.5" customHeight="1" x14ac:dyDescent="0.2">
      <c r="A61" s="94" t="s">
        <v>360</v>
      </c>
      <c r="B61" s="77" t="s">
        <v>186</v>
      </c>
      <c r="C61" s="177" t="s">
        <v>399</v>
      </c>
      <c r="D61" s="51">
        <v>1</v>
      </c>
      <c r="E61" s="178">
        <f>HYPERLINK("http://review.rb.de.conti.de:7779/forms/frmservlet?config=review&amp;otherparams=p_review_id=7167463",7167463)</f>
        <v>7167463</v>
      </c>
      <c r="F61" s="51">
        <v>0</v>
      </c>
      <c r="G61" s="51">
        <v>0</v>
      </c>
      <c r="H61" s="178">
        <f>HYPERLINK("http://review.rb.de.conti.de:7779/forms/frmservlet?config=review&amp;otherparams=p_review_id=7167526",7167526)</f>
        <v>7167526</v>
      </c>
      <c r="I61" s="55" t="s">
        <v>38</v>
      </c>
      <c r="J61" s="55" t="s">
        <v>38</v>
      </c>
      <c r="K61" s="55" t="s">
        <v>38</v>
      </c>
      <c r="L61" s="54" t="s">
        <v>38</v>
      </c>
      <c r="M61" s="76"/>
      <c r="N61" s="176"/>
      <c r="O61" s="36" t="s">
        <v>188</v>
      </c>
    </row>
    <row r="62" spans="1:15" ht="13.5" customHeight="1" x14ac:dyDescent="0.2">
      <c r="A62" s="94" t="s">
        <v>360</v>
      </c>
      <c r="B62" s="77" t="s">
        <v>189</v>
      </c>
      <c r="C62" s="177" t="s">
        <v>257</v>
      </c>
      <c r="D62" s="51">
        <v>1</v>
      </c>
      <c r="E62" s="178">
        <f t="shared" ref="E62:E70" si="6">HYPERLINK("http://review.rb.de.conti.de:7779/forms/frmservlet?config=review&amp;otherparams=p_review_id=6542376",6542376)</f>
        <v>6542376</v>
      </c>
      <c r="F62" s="51">
        <v>0</v>
      </c>
      <c r="G62" s="51">
        <v>0</v>
      </c>
      <c r="H62" s="178">
        <f t="shared" ref="H62:H70" si="7">HYPERLINK("http://review.rb.de.conti.de:7779/forms/frmservlet?config=review&amp;otherparams=p_review_id=6542335",6542335)</f>
        <v>6542335</v>
      </c>
      <c r="I62" s="55" t="s">
        <v>38</v>
      </c>
      <c r="J62" s="55" t="s">
        <v>38</v>
      </c>
      <c r="K62" s="55" t="s">
        <v>38</v>
      </c>
      <c r="L62" s="54" t="s">
        <v>38</v>
      </c>
      <c r="M62" s="76" t="s">
        <v>180</v>
      </c>
      <c r="N62" s="176"/>
      <c r="O62" s="36" t="s">
        <v>190</v>
      </c>
    </row>
    <row r="63" spans="1:15" ht="13.5" customHeight="1" x14ac:dyDescent="0.2">
      <c r="A63" s="94" t="s">
        <v>361</v>
      </c>
      <c r="B63" s="77" t="s">
        <v>192</v>
      </c>
      <c r="C63" s="177" t="s">
        <v>373</v>
      </c>
      <c r="D63" s="51">
        <v>1</v>
      </c>
      <c r="E63" s="178">
        <f t="shared" si="6"/>
        <v>6542376</v>
      </c>
      <c r="F63" s="51">
        <v>0</v>
      </c>
      <c r="G63" s="51">
        <v>0</v>
      </c>
      <c r="H63" s="178">
        <f t="shared" si="7"/>
        <v>6542335</v>
      </c>
      <c r="I63" s="55" t="s">
        <v>38</v>
      </c>
      <c r="J63" s="55" t="s">
        <v>38</v>
      </c>
      <c r="K63" s="55" t="s">
        <v>38</v>
      </c>
      <c r="L63" s="54" t="s">
        <v>38</v>
      </c>
      <c r="M63" s="76" t="s">
        <v>180</v>
      </c>
      <c r="N63" s="176"/>
      <c r="O63" s="36" t="s">
        <v>193</v>
      </c>
    </row>
    <row r="64" spans="1:15" ht="13.5" customHeight="1" x14ac:dyDescent="0.2">
      <c r="A64" s="94" t="s">
        <v>366</v>
      </c>
      <c r="B64" s="77" t="s">
        <v>310</v>
      </c>
      <c r="C64" s="177" t="s">
        <v>413</v>
      </c>
      <c r="D64" s="51">
        <v>1</v>
      </c>
      <c r="E64" s="178">
        <f>HYPERLINK("http://links.conti.de/Review/?ReviewId=10030021",10039301)</f>
        <v>10039301</v>
      </c>
      <c r="F64" s="51">
        <v>0</v>
      </c>
      <c r="G64" s="51">
        <v>0</v>
      </c>
      <c r="H64" s="178">
        <f>HYPERLINK("http://links.conti.de/Review/?ReviewId=10030021",10039301)</f>
        <v>10039301</v>
      </c>
      <c r="I64" s="55" t="s">
        <v>38</v>
      </c>
      <c r="J64" s="55" t="s">
        <v>38</v>
      </c>
      <c r="K64" s="55" t="s">
        <v>38</v>
      </c>
      <c r="L64" s="54" t="s">
        <v>38</v>
      </c>
      <c r="M64" s="76"/>
      <c r="N64" s="176" t="s">
        <v>412</v>
      </c>
      <c r="O64" s="36" t="s">
        <v>311</v>
      </c>
    </row>
    <row r="65" spans="1:15" ht="13.5" customHeight="1" x14ac:dyDescent="0.2">
      <c r="A65" s="94" t="s">
        <v>366</v>
      </c>
      <c r="B65" s="77" t="s">
        <v>312</v>
      </c>
      <c r="C65" s="177" t="s">
        <v>324</v>
      </c>
      <c r="D65" s="51">
        <v>1</v>
      </c>
      <c r="E65" s="178">
        <f t="shared" si="6"/>
        <v>6542376</v>
      </c>
      <c r="F65" s="51">
        <v>0</v>
      </c>
      <c r="G65" s="51">
        <v>0</v>
      </c>
      <c r="H65" s="178">
        <f t="shared" si="7"/>
        <v>6542335</v>
      </c>
      <c r="I65" s="55" t="s">
        <v>38</v>
      </c>
      <c r="J65" s="55" t="s">
        <v>38</v>
      </c>
      <c r="K65" s="55" t="s">
        <v>38</v>
      </c>
      <c r="L65" s="54" t="s">
        <v>38</v>
      </c>
      <c r="M65" s="76" t="s">
        <v>180</v>
      </c>
      <c r="N65" s="176"/>
      <c r="O65" s="36" t="s">
        <v>313</v>
      </c>
    </row>
    <row r="66" spans="1:15" ht="13.5" customHeight="1" x14ac:dyDescent="0.2">
      <c r="A66" s="94" t="s">
        <v>366</v>
      </c>
      <c r="B66" s="77" t="s">
        <v>314</v>
      </c>
      <c r="C66" s="177" t="s">
        <v>363</v>
      </c>
      <c r="D66" s="51">
        <v>1</v>
      </c>
      <c r="E66" s="178">
        <f t="shared" si="6"/>
        <v>6542376</v>
      </c>
      <c r="F66" s="51">
        <v>0</v>
      </c>
      <c r="G66" s="51">
        <v>0</v>
      </c>
      <c r="H66" s="178">
        <f t="shared" si="7"/>
        <v>6542335</v>
      </c>
      <c r="I66" s="55" t="s">
        <v>38</v>
      </c>
      <c r="J66" s="55" t="s">
        <v>38</v>
      </c>
      <c r="K66" s="55" t="s">
        <v>38</v>
      </c>
      <c r="L66" s="54" t="s">
        <v>38</v>
      </c>
      <c r="M66" s="76"/>
      <c r="N66" s="176"/>
      <c r="O66" s="36" t="s">
        <v>315</v>
      </c>
    </row>
    <row r="67" spans="1:15" ht="13.5" customHeight="1" x14ac:dyDescent="0.2">
      <c r="A67" s="94" t="s">
        <v>366</v>
      </c>
      <c r="B67" s="77" t="s">
        <v>316</v>
      </c>
      <c r="C67" s="177" t="s">
        <v>357</v>
      </c>
      <c r="D67" s="51">
        <v>1</v>
      </c>
      <c r="E67" s="178">
        <f t="shared" si="6"/>
        <v>6542376</v>
      </c>
      <c r="F67" s="51">
        <v>0</v>
      </c>
      <c r="G67" s="51">
        <v>0</v>
      </c>
      <c r="H67" s="178">
        <f t="shared" si="7"/>
        <v>6542335</v>
      </c>
      <c r="I67" s="55" t="s">
        <v>38</v>
      </c>
      <c r="J67" s="55" t="s">
        <v>38</v>
      </c>
      <c r="K67" s="55" t="s">
        <v>38</v>
      </c>
      <c r="L67" s="54" t="s">
        <v>38</v>
      </c>
      <c r="M67" s="76" t="s">
        <v>180</v>
      </c>
      <c r="N67" s="176"/>
      <c r="O67" s="36" t="s">
        <v>317</v>
      </c>
    </row>
    <row r="68" spans="1:15" ht="13.5" customHeight="1" x14ac:dyDescent="0.2">
      <c r="A68" s="94" t="s">
        <v>367</v>
      </c>
      <c r="B68" s="77" t="s">
        <v>186</v>
      </c>
      <c r="C68" s="177" t="s">
        <v>370</v>
      </c>
      <c r="D68" s="51">
        <v>1</v>
      </c>
      <c r="E68" s="178">
        <f t="shared" si="6"/>
        <v>6542376</v>
      </c>
      <c r="F68" s="51">
        <v>0</v>
      </c>
      <c r="G68" s="51">
        <v>0</v>
      </c>
      <c r="H68" s="178">
        <f t="shared" si="7"/>
        <v>6542335</v>
      </c>
      <c r="I68" s="55" t="s">
        <v>38</v>
      </c>
      <c r="J68" s="55" t="s">
        <v>38</v>
      </c>
      <c r="K68" s="55" t="s">
        <v>38</v>
      </c>
      <c r="L68" s="54" t="s">
        <v>38</v>
      </c>
      <c r="M68" s="76"/>
      <c r="N68" s="176"/>
      <c r="O68" s="36" t="s">
        <v>188</v>
      </c>
    </row>
    <row r="69" spans="1:15" ht="13.5" customHeight="1" x14ac:dyDescent="0.2">
      <c r="A69" s="94" t="s">
        <v>367</v>
      </c>
      <c r="B69" s="77" t="s">
        <v>189</v>
      </c>
      <c r="C69" s="177" t="s">
        <v>257</v>
      </c>
      <c r="D69" s="51">
        <v>1</v>
      </c>
      <c r="E69" s="178">
        <f t="shared" si="6"/>
        <v>6542376</v>
      </c>
      <c r="F69" s="51">
        <v>0</v>
      </c>
      <c r="G69" s="51">
        <v>0</v>
      </c>
      <c r="H69" s="178">
        <f t="shared" si="7"/>
        <v>6542335</v>
      </c>
      <c r="I69" s="55" t="s">
        <v>38</v>
      </c>
      <c r="J69" s="55" t="s">
        <v>38</v>
      </c>
      <c r="K69" s="55" t="s">
        <v>38</v>
      </c>
      <c r="L69" s="54" t="s">
        <v>38</v>
      </c>
      <c r="M69" s="76" t="s">
        <v>180</v>
      </c>
      <c r="N69" s="176"/>
      <c r="O69" s="36" t="s">
        <v>190</v>
      </c>
    </row>
    <row r="70" spans="1:15" ht="13.5" customHeight="1" x14ac:dyDescent="0.2">
      <c r="A70" s="94" t="s">
        <v>368</v>
      </c>
      <c r="B70" s="77" t="s">
        <v>192</v>
      </c>
      <c r="C70" s="177" t="s">
        <v>374</v>
      </c>
      <c r="D70" s="51">
        <v>1</v>
      </c>
      <c r="E70" s="178">
        <f t="shared" si="6"/>
        <v>6542376</v>
      </c>
      <c r="F70" s="51">
        <v>0</v>
      </c>
      <c r="G70" s="51">
        <v>0</v>
      </c>
      <c r="H70" s="178">
        <f t="shared" si="7"/>
        <v>6542335</v>
      </c>
      <c r="I70" s="55" t="s">
        <v>38</v>
      </c>
      <c r="J70" s="55" t="s">
        <v>38</v>
      </c>
      <c r="K70" s="55" t="s">
        <v>38</v>
      </c>
      <c r="L70" s="54" t="s">
        <v>38</v>
      </c>
      <c r="M70" s="76" t="s">
        <v>180</v>
      </c>
      <c r="N70" s="176"/>
      <c r="O70" s="36" t="s">
        <v>193</v>
      </c>
    </row>
    <row r="71" spans="1:15" ht="13.5" customHeight="1" x14ac:dyDescent="0.2">
      <c r="A71" s="94" t="s">
        <v>401</v>
      </c>
      <c r="B71" s="77" t="s">
        <v>310</v>
      </c>
      <c r="C71" s="177" t="s">
        <v>411</v>
      </c>
      <c r="D71" s="51">
        <v>1</v>
      </c>
      <c r="E71" s="178">
        <f>HYPERLINK("http://links.conti.de/Review/?ReviewId=10030021",10039301)</f>
        <v>10039301</v>
      </c>
      <c r="F71" s="51">
        <v>0</v>
      </c>
      <c r="G71" s="51">
        <v>0</v>
      </c>
      <c r="H71" s="178">
        <f>HYPERLINK("http://links.conti.de/Review/?ReviewId=10030021",10039301)</f>
        <v>10039301</v>
      </c>
      <c r="I71" s="55">
        <v>1</v>
      </c>
      <c r="J71" s="55">
        <v>1</v>
      </c>
      <c r="K71" s="55">
        <v>1</v>
      </c>
      <c r="L71" s="54">
        <v>1</v>
      </c>
      <c r="M71" s="76"/>
      <c r="N71" s="176" t="s">
        <v>414</v>
      </c>
      <c r="O71" s="36" t="s">
        <v>311</v>
      </c>
    </row>
    <row r="72" spans="1:15" ht="13.5" customHeight="1" x14ac:dyDescent="0.2">
      <c r="A72" s="94" t="s">
        <v>401</v>
      </c>
      <c r="B72" s="77" t="s">
        <v>312</v>
      </c>
      <c r="C72" s="177" t="s">
        <v>324</v>
      </c>
      <c r="D72" s="51">
        <v>1</v>
      </c>
      <c r="E72" s="178">
        <f t="shared" ref="E72:E77" si="8">HYPERLINK("http://links.conti.de/Review/?ReviewId=10015430",10015430)</f>
        <v>10015430</v>
      </c>
      <c r="F72" s="51">
        <v>0</v>
      </c>
      <c r="G72" s="51">
        <v>0</v>
      </c>
      <c r="H72" s="178">
        <f t="shared" ref="H72:H77" si="9">HYPERLINK("http://links.conti.de/Review/?ReviewId=10015430",10015430)</f>
        <v>10015430</v>
      </c>
      <c r="I72" s="55" t="s">
        <v>38</v>
      </c>
      <c r="J72" s="55" t="s">
        <v>38</v>
      </c>
      <c r="K72" s="55" t="s">
        <v>38</v>
      </c>
      <c r="L72" s="54" t="s">
        <v>38</v>
      </c>
      <c r="M72" s="76" t="s">
        <v>180</v>
      </c>
      <c r="N72" s="176" t="s">
        <v>402</v>
      </c>
      <c r="O72" s="36" t="s">
        <v>313</v>
      </c>
    </row>
    <row r="73" spans="1:15" ht="13.5" customHeight="1" x14ac:dyDescent="0.2">
      <c r="A73" s="94" t="s">
        <v>401</v>
      </c>
      <c r="B73" s="77" t="s">
        <v>314</v>
      </c>
      <c r="C73" s="177" t="s">
        <v>363</v>
      </c>
      <c r="D73" s="51">
        <v>1</v>
      </c>
      <c r="E73" s="178">
        <f t="shared" si="8"/>
        <v>10015430</v>
      </c>
      <c r="F73" s="51">
        <v>0</v>
      </c>
      <c r="G73" s="51">
        <v>0</v>
      </c>
      <c r="H73" s="178">
        <f t="shared" si="9"/>
        <v>10015430</v>
      </c>
      <c r="I73" s="55">
        <v>1</v>
      </c>
      <c r="J73" s="55">
        <v>1</v>
      </c>
      <c r="K73" s="55">
        <v>1</v>
      </c>
      <c r="L73" s="54">
        <v>1</v>
      </c>
      <c r="M73" s="76"/>
      <c r="N73" s="176" t="s">
        <v>402</v>
      </c>
      <c r="O73" s="36" t="s">
        <v>315</v>
      </c>
    </row>
    <row r="74" spans="1:15" ht="13.5" customHeight="1" x14ac:dyDescent="0.2">
      <c r="A74" s="94" t="s">
        <v>401</v>
      </c>
      <c r="B74" s="77" t="s">
        <v>316</v>
      </c>
      <c r="C74" s="177" t="s">
        <v>357</v>
      </c>
      <c r="D74" s="51">
        <v>1</v>
      </c>
      <c r="E74" s="178">
        <f t="shared" si="8"/>
        <v>10015430</v>
      </c>
      <c r="F74" s="51">
        <v>0</v>
      </c>
      <c r="G74" s="51">
        <v>0</v>
      </c>
      <c r="H74" s="178">
        <f t="shared" si="9"/>
        <v>10015430</v>
      </c>
      <c r="I74" s="55" t="s">
        <v>38</v>
      </c>
      <c r="J74" s="55" t="s">
        <v>38</v>
      </c>
      <c r="K74" s="55" t="s">
        <v>38</v>
      </c>
      <c r="L74" s="54" t="s">
        <v>38</v>
      </c>
      <c r="M74" s="76" t="s">
        <v>180</v>
      </c>
      <c r="N74" s="176" t="s">
        <v>402</v>
      </c>
      <c r="O74" s="36" t="s">
        <v>317</v>
      </c>
    </row>
    <row r="75" spans="1:15" ht="13.5" customHeight="1" x14ac:dyDescent="0.2">
      <c r="A75" s="94" t="s">
        <v>403</v>
      </c>
      <c r="B75" s="77" t="s">
        <v>186</v>
      </c>
      <c r="C75" s="177" t="s">
        <v>399</v>
      </c>
      <c r="D75" s="51">
        <v>1</v>
      </c>
      <c r="E75" s="178">
        <f t="shared" si="8"/>
        <v>10015430</v>
      </c>
      <c r="F75" s="51">
        <v>0</v>
      </c>
      <c r="G75" s="51">
        <v>0</v>
      </c>
      <c r="H75" s="178">
        <f t="shared" si="9"/>
        <v>10015430</v>
      </c>
      <c r="I75" s="55">
        <v>1</v>
      </c>
      <c r="J75" s="55">
        <v>1</v>
      </c>
      <c r="K75" s="55">
        <v>1</v>
      </c>
      <c r="L75" s="54">
        <v>1</v>
      </c>
      <c r="M75" s="76"/>
      <c r="N75" s="176" t="s">
        <v>402</v>
      </c>
      <c r="O75" s="36" t="s">
        <v>188</v>
      </c>
    </row>
    <row r="76" spans="1:15" ht="13.5" customHeight="1" x14ac:dyDescent="0.2">
      <c r="A76" s="94" t="s">
        <v>403</v>
      </c>
      <c r="B76" s="77" t="s">
        <v>189</v>
      </c>
      <c r="C76" s="177" t="s">
        <v>257</v>
      </c>
      <c r="D76" s="51">
        <v>1</v>
      </c>
      <c r="E76" s="178">
        <f t="shared" si="8"/>
        <v>10015430</v>
      </c>
      <c r="F76" s="51">
        <v>0</v>
      </c>
      <c r="G76" s="51">
        <v>0</v>
      </c>
      <c r="H76" s="178">
        <f t="shared" si="9"/>
        <v>10015430</v>
      </c>
      <c r="I76" s="55" t="s">
        <v>38</v>
      </c>
      <c r="J76" s="55" t="s">
        <v>38</v>
      </c>
      <c r="K76" s="55" t="s">
        <v>38</v>
      </c>
      <c r="L76" s="54" t="s">
        <v>38</v>
      </c>
      <c r="M76" s="76" t="s">
        <v>180</v>
      </c>
      <c r="N76" s="176" t="s">
        <v>402</v>
      </c>
      <c r="O76" s="36" t="s">
        <v>190</v>
      </c>
    </row>
    <row r="77" spans="1:15" ht="13.5" customHeight="1" x14ac:dyDescent="0.2">
      <c r="A77" s="94" t="s">
        <v>404</v>
      </c>
      <c r="B77" s="77" t="s">
        <v>192</v>
      </c>
      <c r="C77" s="177" t="s">
        <v>405</v>
      </c>
      <c r="D77" s="51">
        <v>1</v>
      </c>
      <c r="E77" s="178">
        <f t="shared" si="8"/>
        <v>10015430</v>
      </c>
      <c r="F77" s="51">
        <v>0</v>
      </c>
      <c r="G77" s="51">
        <v>0</v>
      </c>
      <c r="H77" s="178">
        <f t="shared" si="9"/>
        <v>10015430</v>
      </c>
      <c r="I77" s="55" t="s">
        <v>38</v>
      </c>
      <c r="J77" s="55" t="s">
        <v>38</v>
      </c>
      <c r="K77" s="55" t="s">
        <v>38</v>
      </c>
      <c r="L77" s="54" t="s">
        <v>38</v>
      </c>
      <c r="M77" s="76" t="s">
        <v>180</v>
      </c>
      <c r="N77" s="176" t="s">
        <v>402</v>
      </c>
      <c r="O77" s="36" t="s">
        <v>193</v>
      </c>
    </row>
    <row r="78" spans="1:15" ht="13.5" customHeight="1" x14ac:dyDescent="0.2">
      <c r="A78" s="94" t="s">
        <v>325</v>
      </c>
      <c r="B78" s="77" t="s">
        <v>326</v>
      </c>
      <c r="C78" s="177" t="s">
        <v>375</v>
      </c>
      <c r="D78" s="51">
        <v>1</v>
      </c>
      <c r="E78" s="178">
        <f>HYPERLINK("http://review.rb.de.conti.de:7779/forms/frmservlet?config=review&amp;otherparams=p_review_id=6517139",6517139)</f>
        <v>6517139</v>
      </c>
      <c r="F78" s="51">
        <v>0</v>
      </c>
      <c r="G78" s="51">
        <v>0</v>
      </c>
      <c r="H78" s="178">
        <f>HYPERLINK("http://review.rb.de.conti.de:7779/forms/frmservlet?config=review&amp;otherparams=p_review_id=6517107",6517107)</f>
        <v>6517107</v>
      </c>
      <c r="I78" s="55">
        <v>1</v>
      </c>
      <c r="J78" s="55">
        <v>1</v>
      </c>
      <c r="K78" s="55">
        <v>1</v>
      </c>
      <c r="L78" s="54" t="s">
        <v>38</v>
      </c>
      <c r="M78" s="76"/>
      <c r="N78" s="176"/>
      <c r="O78" s="36" t="s">
        <v>327</v>
      </c>
    </row>
    <row r="79" spans="1:15" ht="13.5" customHeight="1" x14ac:dyDescent="0.2">
      <c r="A79" s="94" t="s">
        <v>325</v>
      </c>
      <c r="B79" s="77" t="s">
        <v>328</v>
      </c>
      <c r="C79" s="177" t="s">
        <v>195</v>
      </c>
      <c r="D79" s="51">
        <v>1</v>
      </c>
      <c r="E79" s="178">
        <f>HYPERLINK("http://review.rb.de.conti.de:7779/forms/frmservlet?config=review&amp;otherparams=p_review_id=6542376",6542376)</f>
        <v>6542376</v>
      </c>
      <c r="F79" s="51">
        <v>0</v>
      </c>
      <c r="G79" s="51">
        <v>0</v>
      </c>
      <c r="H79" s="178">
        <f>HYPERLINK("http://review.rb.de.conti.de:7779/forms/frmservlet?config=review&amp;otherparams=p_review_id=6542335",6542335)</f>
        <v>6542335</v>
      </c>
      <c r="I79" s="55" t="s">
        <v>38</v>
      </c>
      <c r="J79" s="55" t="s">
        <v>38</v>
      </c>
      <c r="K79" s="55" t="s">
        <v>38</v>
      </c>
      <c r="L79" s="54" t="s">
        <v>38</v>
      </c>
      <c r="M79" s="76" t="s">
        <v>180</v>
      </c>
      <c r="N79" s="176"/>
      <c r="O79" s="36" t="s">
        <v>329</v>
      </c>
    </row>
    <row r="80" spans="1:15" ht="13.5" customHeight="1" x14ac:dyDescent="0.2">
      <c r="A80" s="94" t="s">
        <v>325</v>
      </c>
      <c r="B80" s="77" t="s">
        <v>330</v>
      </c>
      <c r="C80" s="177" t="s">
        <v>376</v>
      </c>
      <c r="D80" s="51">
        <v>1</v>
      </c>
      <c r="E80" s="178">
        <f>HYPERLINK("http://review.rb.de.conti.de:7779/forms/frmservlet?config=review&amp;otherparams=p_review_id=6517139",6517139)</f>
        <v>6517139</v>
      </c>
      <c r="F80" s="51">
        <v>0</v>
      </c>
      <c r="G80" s="51">
        <v>0</v>
      </c>
      <c r="H80" s="178">
        <f>HYPERLINK("http://review.rb.de.conti.de:7779/forms/frmservlet?config=review&amp;otherparams=p_review_id=6517107",6517107)</f>
        <v>6517107</v>
      </c>
      <c r="I80" s="55">
        <v>1</v>
      </c>
      <c r="J80" s="55">
        <v>1</v>
      </c>
      <c r="K80" s="55">
        <v>1</v>
      </c>
      <c r="L80" s="54" t="s">
        <v>38</v>
      </c>
      <c r="M80" s="76"/>
      <c r="N80" s="176"/>
      <c r="O80" s="36" t="s">
        <v>331</v>
      </c>
    </row>
    <row r="81" spans="1:15" ht="13.5" customHeight="1" x14ac:dyDescent="0.2">
      <c r="A81" s="94" t="s">
        <v>325</v>
      </c>
      <c r="B81" s="77" t="s">
        <v>332</v>
      </c>
      <c r="C81" s="177" t="s">
        <v>194</v>
      </c>
      <c r="D81" s="51">
        <v>1</v>
      </c>
      <c r="E81" s="178">
        <f>HYPERLINK("http://review.rb.de.conti.de:7779/forms/frmservlet?config=review&amp;otherparams=p_review_id=6542376",6542376)</f>
        <v>6542376</v>
      </c>
      <c r="F81" s="51">
        <v>0</v>
      </c>
      <c r="G81" s="51">
        <v>0</v>
      </c>
      <c r="H81" s="178">
        <f>HYPERLINK("http://review.rb.de.conti.de:7779/forms/frmservlet?config=review&amp;otherparams=p_review_id=6542335",6542335)</f>
        <v>6542335</v>
      </c>
      <c r="I81" s="55" t="s">
        <v>38</v>
      </c>
      <c r="J81" s="55" t="s">
        <v>38</v>
      </c>
      <c r="K81" s="55" t="s">
        <v>38</v>
      </c>
      <c r="L81" s="54" t="s">
        <v>38</v>
      </c>
      <c r="M81" s="76" t="s">
        <v>180</v>
      </c>
      <c r="N81" s="176"/>
      <c r="O81" s="36" t="s">
        <v>333</v>
      </c>
    </row>
    <row r="82" spans="1:15" ht="13.5" customHeight="1" x14ac:dyDescent="0.2">
      <c r="A82" s="94" t="s">
        <v>325</v>
      </c>
      <c r="B82" s="77" t="s">
        <v>334</v>
      </c>
      <c r="C82" s="177" t="s">
        <v>319</v>
      </c>
      <c r="D82" s="51">
        <v>1</v>
      </c>
      <c r="E82" s="178">
        <f>HYPERLINK("http://review.rb.de.conti.de:7779/forms/frmservlet?config=review&amp;otherparams=p_review_id=6542376",6542376)</f>
        <v>6542376</v>
      </c>
      <c r="F82" s="51">
        <v>0</v>
      </c>
      <c r="G82" s="51">
        <v>0</v>
      </c>
      <c r="H82" s="178">
        <f>HYPERLINK("http://review.rb.de.conti.de:7779/forms/frmservlet?config=review&amp;otherparams=p_review_id=6542335",6542335)</f>
        <v>6542335</v>
      </c>
      <c r="I82" s="55">
        <v>1</v>
      </c>
      <c r="J82" s="55">
        <v>1</v>
      </c>
      <c r="K82" s="55">
        <v>1</v>
      </c>
      <c r="L82" s="54" t="s">
        <v>38</v>
      </c>
      <c r="M82" s="76"/>
      <c r="N82" s="176"/>
      <c r="O82" s="36" t="s">
        <v>335</v>
      </c>
    </row>
    <row r="83" spans="1:15" ht="13.5" customHeight="1" x14ac:dyDescent="0.2">
      <c r="A83" s="94" t="s">
        <v>325</v>
      </c>
      <c r="B83" s="77" t="s">
        <v>336</v>
      </c>
      <c r="C83" s="177" t="s">
        <v>195</v>
      </c>
      <c r="D83" s="51">
        <v>1</v>
      </c>
      <c r="E83" s="178">
        <f>HYPERLINK("http://review.rb.de.conti.de:7779/forms/frmservlet?config=review&amp;otherparams=p_review_id=6542376",6542376)</f>
        <v>6542376</v>
      </c>
      <c r="F83" s="51">
        <v>0</v>
      </c>
      <c r="G83" s="51">
        <v>0</v>
      </c>
      <c r="H83" s="178">
        <f>HYPERLINK("http://review.rb.de.conti.de:7779/forms/frmservlet?config=review&amp;otherparams=p_review_id=6542335",6542335)</f>
        <v>6542335</v>
      </c>
      <c r="I83" s="55" t="s">
        <v>38</v>
      </c>
      <c r="J83" s="55" t="s">
        <v>38</v>
      </c>
      <c r="K83" s="55" t="s">
        <v>38</v>
      </c>
      <c r="L83" s="54" t="s">
        <v>38</v>
      </c>
      <c r="M83" s="76" t="s">
        <v>180</v>
      </c>
      <c r="N83" s="176"/>
      <c r="O83" s="36" t="s">
        <v>337</v>
      </c>
    </row>
    <row r="84" spans="1:15" ht="13.5" customHeight="1" x14ac:dyDescent="0.2">
      <c r="A84" s="94" t="s">
        <v>325</v>
      </c>
      <c r="B84" s="77" t="s">
        <v>338</v>
      </c>
      <c r="C84" s="177" t="s">
        <v>301</v>
      </c>
      <c r="D84" s="51">
        <v>1</v>
      </c>
      <c r="E84" s="178">
        <f>HYPERLINK("http://review.rb.de.conti.de:7779/forms/frmservlet?config=review&amp;otherparams=p_review_id=6542376",6542376)</f>
        <v>6542376</v>
      </c>
      <c r="F84" s="51">
        <v>0</v>
      </c>
      <c r="G84" s="51">
        <v>0</v>
      </c>
      <c r="H84" s="178">
        <f>HYPERLINK("http://review.rb.de.conti.de:7779/forms/frmservlet?config=review&amp;otherparams=p_review_id=6542335",6542335)</f>
        <v>6542335</v>
      </c>
      <c r="I84" s="55">
        <v>1</v>
      </c>
      <c r="J84" s="55">
        <v>1</v>
      </c>
      <c r="K84" s="55">
        <v>1</v>
      </c>
      <c r="L84" s="54" t="s">
        <v>38</v>
      </c>
      <c r="M84" s="76"/>
      <c r="N84" s="176"/>
      <c r="O84" s="36" t="s">
        <v>339</v>
      </c>
    </row>
    <row r="85" spans="1:15" ht="13.5" customHeight="1" x14ac:dyDescent="0.2">
      <c r="A85" s="94" t="s">
        <v>325</v>
      </c>
      <c r="B85" s="77" t="s">
        <v>340</v>
      </c>
      <c r="C85" s="177" t="s">
        <v>195</v>
      </c>
      <c r="D85" s="51">
        <v>1</v>
      </c>
      <c r="E85" s="178">
        <f>HYPERLINK("http://review.rb.de.conti.de:7779/forms/frmservlet?config=review&amp;otherparams=p_review_id=6542376",6542376)</f>
        <v>6542376</v>
      </c>
      <c r="F85" s="51">
        <v>0</v>
      </c>
      <c r="G85" s="51">
        <v>0</v>
      </c>
      <c r="H85" s="178">
        <f>HYPERLINK("http://review.rb.de.conti.de:7779/forms/frmservlet?config=review&amp;otherparams=p_review_id=6542335",6542335)</f>
        <v>6542335</v>
      </c>
      <c r="I85" s="55" t="s">
        <v>38</v>
      </c>
      <c r="J85" s="55" t="s">
        <v>38</v>
      </c>
      <c r="K85" s="55" t="s">
        <v>38</v>
      </c>
      <c r="L85" s="54" t="s">
        <v>38</v>
      </c>
      <c r="M85" s="76" t="s">
        <v>180</v>
      </c>
      <c r="N85" s="176"/>
      <c r="O85" s="36" t="s">
        <v>341</v>
      </c>
    </row>
    <row r="86" spans="1:15" ht="13.5" customHeight="1" x14ac:dyDescent="0.2">
      <c r="A86" s="94" t="s">
        <v>196</v>
      </c>
      <c r="B86" s="77" t="s">
        <v>197</v>
      </c>
      <c r="C86" s="177" t="s">
        <v>377</v>
      </c>
      <c r="D86" s="51">
        <v>1</v>
      </c>
      <c r="E86" s="178">
        <f>HYPERLINK("http://review.rb.de.conti.de:7779/forms/frmservlet?config=review&amp;otherparams=p_review_id=6517139",6517139)</f>
        <v>6517139</v>
      </c>
      <c r="F86" s="51">
        <v>0</v>
      </c>
      <c r="G86" s="51">
        <v>0</v>
      </c>
      <c r="H86" s="178">
        <f>HYPERLINK("http://review.rb.de.conti.de:7779/forms/frmservlet?config=review&amp;otherparams=p_review_id=6517107",6517107)</f>
        <v>6517107</v>
      </c>
      <c r="I86" s="55" t="s">
        <v>38</v>
      </c>
      <c r="J86" s="55" t="s">
        <v>38</v>
      </c>
      <c r="K86" s="55" t="s">
        <v>38</v>
      </c>
      <c r="L86" s="54" t="s">
        <v>38</v>
      </c>
      <c r="M86" s="76"/>
      <c r="N86" s="176"/>
      <c r="O86" s="36" t="s">
        <v>198</v>
      </c>
    </row>
    <row r="87" spans="1:15" ht="13.5" customHeight="1" x14ac:dyDescent="0.2">
      <c r="A87" s="94" t="s">
        <v>196</v>
      </c>
      <c r="B87" s="77" t="s">
        <v>199</v>
      </c>
      <c r="C87" s="177" t="s">
        <v>386</v>
      </c>
      <c r="D87" s="51">
        <v>1</v>
      </c>
      <c r="E87" s="178">
        <f>HYPERLINK("http://review.rb.de.conti.de:7779/forms/frmservlet?config=review&amp;otherparams=p_review_id=6883711",6883711)</f>
        <v>6883711</v>
      </c>
      <c r="F87" s="51">
        <v>0</v>
      </c>
      <c r="G87" s="51">
        <v>0</v>
      </c>
      <c r="H87" s="178">
        <f>HYPERLINK("http://review.rb.de.conti.de:7779/forms/frmservlet?config=review&amp;otherparams=p_review_id=6883680",6883680)</f>
        <v>6883680</v>
      </c>
      <c r="I87" s="55">
        <v>1</v>
      </c>
      <c r="J87" s="55">
        <v>1</v>
      </c>
      <c r="K87" s="55">
        <v>1</v>
      </c>
      <c r="L87" s="54" t="s">
        <v>38</v>
      </c>
      <c r="M87" s="76"/>
      <c r="N87" s="176"/>
      <c r="O87" s="36" t="s">
        <v>200</v>
      </c>
    </row>
    <row r="88" spans="1:15" ht="13.5" customHeight="1" x14ac:dyDescent="0.2">
      <c r="A88" s="94" t="s">
        <v>196</v>
      </c>
      <c r="B88" s="77" t="s">
        <v>201</v>
      </c>
      <c r="C88" s="177" t="s">
        <v>387</v>
      </c>
      <c r="D88" s="51">
        <v>1</v>
      </c>
      <c r="E88" s="178">
        <f>HYPERLINK("http://review.rb.de.conti.de:7779/forms/frmservlet?config=review&amp;otherparams=p_review_id=6883711",6883711)</f>
        <v>6883711</v>
      </c>
      <c r="F88" s="51">
        <v>0</v>
      </c>
      <c r="G88" s="51">
        <v>0</v>
      </c>
      <c r="H88" s="178">
        <f>HYPERLINK("http://review.rb.de.conti.de:7779/forms/frmservlet?config=review&amp;otherparams=p_review_id=6883680",6883680)</f>
        <v>6883680</v>
      </c>
      <c r="I88" s="55" t="s">
        <v>38</v>
      </c>
      <c r="J88" s="55" t="s">
        <v>38</v>
      </c>
      <c r="K88" s="55" t="s">
        <v>38</v>
      </c>
      <c r="L88" s="54" t="s">
        <v>38</v>
      </c>
      <c r="M88" s="76" t="s">
        <v>180</v>
      </c>
      <c r="N88" s="176"/>
      <c r="O88" s="36" t="s">
        <v>202</v>
      </c>
    </row>
    <row r="89" spans="1:15" ht="13.5" customHeight="1" x14ac:dyDescent="0.2">
      <c r="A89" s="94" t="s">
        <v>196</v>
      </c>
      <c r="B89" s="77" t="s">
        <v>203</v>
      </c>
      <c r="C89" s="177" t="s">
        <v>324</v>
      </c>
      <c r="D89" s="51">
        <v>1</v>
      </c>
      <c r="E89" s="178">
        <f>HYPERLINK("http://review.rb.de.conti.de:7779/forms/frmservlet?config=review&amp;otherparams=p_review_id=6542376",6542376)</f>
        <v>6542376</v>
      </c>
      <c r="F89" s="51">
        <v>0</v>
      </c>
      <c r="G89" s="51">
        <v>0</v>
      </c>
      <c r="H89" s="178">
        <f>HYPERLINK("http://review.rb.de.conti.de:7779/forms/frmservlet?config=review&amp;otherparams=p_review_id=6542335",6542335)</f>
        <v>6542335</v>
      </c>
      <c r="I89" s="55">
        <v>1</v>
      </c>
      <c r="J89" s="55">
        <v>1</v>
      </c>
      <c r="K89" s="55">
        <v>1</v>
      </c>
      <c r="L89" s="54" t="s">
        <v>38</v>
      </c>
      <c r="M89" s="76"/>
      <c r="N89" s="176"/>
      <c r="O89" s="36" t="s">
        <v>204</v>
      </c>
    </row>
    <row r="90" spans="1:15" ht="13.5" customHeight="1" x14ac:dyDescent="0.2">
      <c r="A90" s="94" t="s">
        <v>196</v>
      </c>
      <c r="B90" s="77" t="s">
        <v>205</v>
      </c>
      <c r="C90" s="177" t="s">
        <v>301</v>
      </c>
      <c r="D90" s="51">
        <v>1</v>
      </c>
      <c r="E90" s="178">
        <f>HYPERLINK("http://review.rb.de.conti.de:7779/forms/frmservlet?config=review&amp;otherparams=p_review_id=6542376",6542376)</f>
        <v>6542376</v>
      </c>
      <c r="F90" s="51">
        <v>0</v>
      </c>
      <c r="G90" s="51">
        <v>0</v>
      </c>
      <c r="H90" s="178">
        <f>HYPERLINK("http://review.rb.de.conti.de:7779/forms/frmservlet?config=review&amp;otherparams=p_review_id=6542335",6542335)</f>
        <v>6542335</v>
      </c>
      <c r="I90" s="55" t="s">
        <v>38</v>
      </c>
      <c r="J90" s="55" t="s">
        <v>38</v>
      </c>
      <c r="K90" s="55" t="s">
        <v>38</v>
      </c>
      <c r="L90" s="54" t="s">
        <v>38</v>
      </c>
      <c r="M90" s="76" t="s">
        <v>180</v>
      </c>
      <c r="N90" s="176"/>
      <c r="O90" s="36" t="s">
        <v>206</v>
      </c>
    </row>
    <row r="91" spans="1:15" ht="13.5" customHeight="1" x14ac:dyDescent="0.2">
      <c r="A91" s="94" t="s">
        <v>196</v>
      </c>
      <c r="B91" s="77" t="s">
        <v>207</v>
      </c>
      <c r="C91" s="177" t="s">
        <v>364</v>
      </c>
      <c r="D91" s="51">
        <v>1</v>
      </c>
      <c r="E91" s="178">
        <f>HYPERLINK("http://review.rb.de.conti.de:7779/forms/frmservlet?config=review&amp;otherparams=p_review_id=6517139",6517139)</f>
        <v>6517139</v>
      </c>
      <c r="F91" s="51">
        <v>0</v>
      </c>
      <c r="G91" s="51">
        <v>0</v>
      </c>
      <c r="H91" s="178">
        <f>HYPERLINK("http://review.rb.de.conti.de:7779/forms/frmservlet?config=review&amp;otherparams=p_review_id=6517107",6517107)</f>
        <v>6517107</v>
      </c>
      <c r="I91" s="55">
        <v>1</v>
      </c>
      <c r="J91" s="55">
        <v>1</v>
      </c>
      <c r="K91" s="55">
        <v>1</v>
      </c>
      <c r="L91" s="54" t="s">
        <v>38</v>
      </c>
      <c r="M91" s="76"/>
      <c r="N91" s="176"/>
      <c r="O91" s="36" t="s">
        <v>208</v>
      </c>
    </row>
    <row r="92" spans="1:15" ht="13.5" customHeight="1" x14ac:dyDescent="0.2">
      <c r="A92" s="94" t="s">
        <v>196</v>
      </c>
      <c r="B92" s="77" t="s">
        <v>209</v>
      </c>
      <c r="C92" s="177" t="s">
        <v>323</v>
      </c>
      <c r="D92" s="51">
        <v>1</v>
      </c>
      <c r="E92" s="178">
        <f>HYPERLINK("http://review.rb.de.conti.de:7779/forms/frmservlet?config=review&amp;otherparams=p_review_id=6542376",6542376)</f>
        <v>6542376</v>
      </c>
      <c r="F92" s="51">
        <v>0</v>
      </c>
      <c r="G92" s="51">
        <v>0</v>
      </c>
      <c r="H92" s="178">
        <f>HYPERLINK("http://review.rb.de.conti.de:7779/forms/frmservlet?config=review&amp;otherparams=p_review_id=6542335",6542335)</f>
        <v>6542335</v>
      </c>
      <c r="I92" s="55" t="s">
        <v>38</v>
      </c>
      <c r="J92" s="55" t="s">
        <v>38</v>
      </c>
      <c r="K92" s="55" t="s">
        <v>38</v>
      </c>
      <c r="L92" s="54" t="s">
        <v>38</v>
      </c>
      <c r="M92" s="76" t="s">
        <v>180</v>
      </c>
      <c r="N92" s="176"/>
      <c r="O92" s="36" t="s">
        <v>210</v>
      </c>
    </row>
    <row r="93" spans="1:15" ht="13.5" customHeight="1" x14ac:dyDescent="0.2">
      <c r="A93" s="94" t="s">
        <v>196</v>
      </c>
      <c r="B93" s="77" t="s">
        <v>211</v>
      </c>
      <c r="C93" s="177" t="s">
        <v>378</v>
      </c>
      <c r="D93" s="51">
        <v>1</v>
      </c>
      <c r="E93" s="178">
        <f>HYPERLINK("http://review.rb.de.conti.de:7779/forms/frmservlet?config=review&amp;otherparams=p_review_id=7167463",7167463)</f>
        <v>7167463</v>
      </c>
      <c r="F93" s="51">
        <v>0</v>
      </c>
      <c r="G93" s="51">
        <v>0</v>
      </c>
      <c r="H93" s="178">
        <f>HYPERLINK("http://review.rb.de.conti.de:7779/forms/frmservlet?config=review&amp;otherparams=p_review_id=7167526",7167526)</f>
        <v>7167526</v>
      </c>
      <c r="I93" s="55">
        <v>1</v>
      </c>
      <c r="J93" s="55">
        <v>1</v>
      </c>
      <c r="K93" s="55">
        <v>1</v>
      </c>
      <c r="L93" s="54" t="s">
        <v>38</v>
      </c>
      <c r="M93" s="76"/>
      <c r="N93" s="176"/>
      <c r="O93" s="36" t="s">
        <v>212</v>
      </c>
    </row>
    <row r="94" spans="1:15" ht="13.5" customHeight="1" x14ac:dyDescent="0.2">
      <c r="A94" s="94" t="s">
        <v>196</v>
      </c>
      <c r="B94" s="77" t="s">
        <v>213</v>
      </c>
      <c r="C94" s="177" t="s">
        <v>301</v>
      </c>
      <c r="D94" s="51">
        <v>1</v>
      </c>
      <c r="E94" s="178">
        <f>HYPERLINK("http://review.rb.de.conti.de:7779/forms/frmservlet?config=review&amp;otherparams=p_review_id=6542376",6542376)</f>
        <v>6542376</v>
      </c>
      <c r="F94" s="51">
        <v>0</v>
      </c>
      <c r="G94" s="51">
        <v>0</v>
      </c>
      <c r="H94" s="178">
        <f>HYPERLINK("http://review.rb.de.conti.de:7779/forms/frmservlet?config=review&amp;otherparams=p_review_id=6542335",6542335)</f>
        <v>6542335</v>
      </c>
      <c r="I94" s="55" t="s">
        <v>38</v>
      </c>
      <c r="J94" s="55" t="s">
        <v>38</v>
      </c>
      <c r="K94" s="55" t="s">
        <v>38</v>
      </c>
      <c r="L94" s="54" t="s">
        <v>38</v>
      </c>
      <c r="M94" s="76" t="s">
        <v>180</v>
      </c>
      <c r="N94" s="176"/>
      <c r="O94" s="36" t="s">
        <v>214</v>
      </c>
    </row>
    <row r="95" spans="1:15" ht="13.5" customHeight="1" x14ac:dyDescent="0.2">
      <c r="A95" s="94" t="s">
        <v>196</v>
      </c>
      <c r="B95" s="77" t="s">
        <v>215</v>
      </c>
      <c r="C95" s="177" t="s">
        <v>301</v>
      </c>
      <c r="D95" s="51">
        <v>1</v>
      </c>
      <c r="E95" s="178">
        <f>HYPERLINK("http://review.rb.de.conti.de:7779/forms/frmservlet?config=review&amp;otherparams=p_review_id=6542376",6542376)</f>
        <v>6542376</v>
      </c>
      <c r="F95" s="51">
        <v>0</v>
      </c>
      <c r="G95" s="51">
        <v>0</v>
      </c>
      <c r="H95" s="178">
        <f>HYPERLINK("http://review.rb.de.conti.de:7779/forms/frmservlet?config=review&amp;otherparams=p_review_id=6542335",6542335)</f>
        <v>6542335</v>
      </c>
      <c r="I95" s="55">
        <v>1</v>
      </c>
      <c r="J95" s="55">
        <v>1</v>
      </c>
      <c r="K95" s="55">
        <v>1</v>
      </c>
      <c r="L95" s="54" t="s">
        <v>38</v>
      </c>
      <c r="M95" s="76"/>
      <c r="N95" s="176"/>
      <c r="O95" s="36" t="s">
        <v>216</v>
      </c>
    </row>
    <row r="96" spans="1:15" ht="13.5" customHeight="1" x14ac:dyDescent="0.2">
      <c r="A96" s="94" t="s">
        <v>196</v>
      </c>
      <c r="B96" s="77" t="s">
        <v>217</v>
      </c>
      <c r="C96" s="177" t="s">
        <v>194</v>
      </c>
      <c r="D96" s="51">
        <v>1</v>
      </c>
      <c r="E96" s="178">
        <f>HYPERLINK("http://review.rb.de.conti.de:7779/forms/frmservlet?config=review&amp;otherparams=p_review_id=6542376",6542376)</f>
        <v>6542376</v>
      </c>
      <c r="F96" s="51">
        <v>0</v>
      </c>
      <c r="G96" s="51">
        <v>0</v>
      </c>
      <c r="H96" s="178">
        <f>HYPERLINK("http://review.rb.de.conti.de:7779/forms/frmservlet?config=review&amp;otherparams=p_review_id=6542335",6542335)</f>
        <v>6542335</v>
      </c>
      <c r="I96" s="55" t="s">
        <v>38</v>
      </c>
      <c r="J96" s="55" t="s">
        <v>38</v>
      </c>
      <c r="K96" s="55" t="s">
        <v>38</v>
      </c>
      <c r="L96" s="54" t="s">
        <v>38</v>
      </c>
      <c r="M96" s="76" t="s">
        <v>180</v>
      </c>
      <c r="N96" s="176"/>
      <c r="O96" s="36" t="s">
        <v>218</v>
      </c>
    </row>
    <row r="97" spans="1:15" ht="13.5" customHeight="1" x14ac:dyDescent="0.2">
      <c r="A97" s="94" t="s">
        <v>196</v>
      </c>
      <c r="B97" s="77" t="s">
        <v>219</v>
      </c>
      <c r="C97" s="177" t="s">
        <v>388</v>
      </c>
      <c r="D97" s="51">
        <v>1</v>
      </c>
      <c r="E97" s="178">
        <f>HYPERLINK("http://review.rb.de.conti.de:7779/forms/frmservlet?config=review&amp;otherparams=p_review_id=6883711",6883711)</f>
        <v>6883711</v>
      </c>
      <c r="F97" s="51">
        <v>0</v>
      </c>
      <c r="G97" s="51">
        <v>0</v>
      </c>
      <c r="H97" s="178">
        <f>HYPERLINK("http://review.rb.de.conti.de:7779/forms/frmservlet?config=review&amp;otherparams=p_review_id=6883680",6883680)</f>
        <v>6883680</v>
      </c>
      <c r="I97" s="55">
        <v>1</v>
      </c>
      <c r="J97" s="55">
        <v>1</v>
      </c>
      <c r="K97" s="55">
        <v>1</v>
      </c>
      <c r="L97" s="54" t="s">
        <v>38</v>
      </c>
      <c r="M97" s="76"/>
      <c r="N97" s="176"/>
      <c r="O97" s="36" t="s">
        <v>220</v>
      </c>
    </row>
    <row r="98" spans="1:15" ht="13.5" customHeight="1" x14ac:dyDescent="0.2">
      <c r="A98" s="94" t="s">
        <v>196</v>
      </c>
      <c r="B98" s="77" t="s">
        <v>221</v>
      </c>
      <c r="C98" s="177" t="s">
        <v>375</v>
      </c>
      <c r="D98" s="51">
        <v>1</v>
      </c>
      <c r="E98" s="178">
        <f>HYPERLINK("http://review.rb.de.conti.de:7779/forms/frmservlet?config=review&amp;otherparams=p_review_id=6883711",6883711)</f>
        <v>6883711</v>
      </c>
      <c r="F98" s="51">
        <v>0</v>
      </c>
      <c r="G98" s="51">
        <v>0</v>
      </c>
      <c r="H98" s="178">
        <f>HYPERLINK("http://review.rb.de.conti.de:7779/forms/frmservlet?config=review&amp;otherparams=p_review_id=6883680",6883680)</f>
        <v>6883680</v>
      </c>
      <c r="I98" s="55" t="s">
        <v>38</v>
      </c>
      <c r="J98" s="55" t="s">
        <v>38</v>
      </c>
      <c r="K98" s="55" t="s">
        <v>38</v>
      </c>
      <c r="L98" s="54" t="s">
        <v>38</v>
      </c>
      <c r="M98" s="76" t="s">
        <v>180</v>
      </c>
      <c r="N98" s="176"/>
      <c r="O98" s="36" t="s">
        <v>222</v>
      </c>
    </row>
    <row r="99" spans="1:15" ht="13.5" customHeight="1" x14ac:dyDescent="0.2">
      <c r="A99" s="94" t="s">
        <v>196</v>
      </c>
      <c r="B99" s="77" t="s">
        <v>302</v>
      </c>
      <c r="C99" s="177" t="s">
        <v>417</v>
      </c>
      <c r="D99" s="51">
        <v>1</v>
      </c>
      <c r="E99" s="178">
        <f>HYPERLINK("http://links.conti.de/Review/?ReviewId=10047924",10047924)</f>
        <v>10047924</v>
      </c>
      <c r="F99" s="51">
        <v>0</v>
      </c>
      <c r="G99" s="51">
        <v>0</v>
      </c>
      <c r="H99" s="178">
        <f>HYPERLINK("http://links.conti.de/Review/?ReviewId=10047924",10047924)</f>
        <v>10047924</v>
      </c>
      <c r="I99" s="55">
        <v>1</v>
      </c>
      <c r="J99" s="55">
        <v>1</v>
      </c>
      <c r="K99" s="55">
        <v>1</v>
      </c>
      <c r="L99" s="54" t="s">
        <v>38</v>
      </c>
      <c r="M99" s="76"/>
      <c r="N99" s="176" t="s">
        <v>416</v>
      </c>
      <c r="O99" s="36" t="s">
        <v>303</v>
      </c>
    </row>
    <row r="100" spans="1:15" ht="13.5" customHeight="1" x14ac:dyDescent="0.2">
      <c r="A100" s="94" t="s">
        <v>196</v>
      </c>
      <c r="B100" s="77" t="s">
        <v>304</v>
      </c>
      <c r="C100" s="177" t="s">
        <v>301</v>
      </c>
      <c r="D100" s="51">
        <v>1</v>
      </c>
      <c r="E100" s="178">
        <f>HYPERLINK("http://review.rb.de.conti.de:7779/forms/frmservlet?config=review&amp;otherparams=p_review_id=6542376",6542376)</f>
        <v>6542376</v>
      </c>
      <c r="F100" s="51">
        <v>0</v>
      </c>
      <c r="G100" s="51">
        <v>0</v>
      </c>
      <c r="H100" s="178">
        <f>HYPERLINK("http://review.rb.de.conti.de:7779/forms/frmservlet?config=review&amp;otherparams=p_review_id=6542335",6542335)</f>
        <v>6542335</v>
      </c>
      <c r="I100" s="55" t="s">
        <v>38</v>
      </c>
      <c r="J100" s="55" t="s">
        <v>38</v>
      </c>
      <c r="K100" s="55" t="s">
        <v>38</v>
      </c>
      <c r="L100" s="54" t="s">
        <v>38</v>
      </c>
      <c r="M100" s="76" t="s">
        <v>180</v>
      </c>
      <c r="N100" s="176"/>
      <c r="O100" s="36" t="s">
        <v>305</v>
      </c>
    </row>
    <row r="101" spans="1:15" ht="13.5" customHeight="1" x14ac:dyDescent="0.2">
      <c r="A101" s="94" t="s">
        <v>196</v>
      </c>
      <c r="B101" s="77" t="s">
        <v>223</v>
      </c>
      <c r="C101" s="177" t="s">
        <v>379</v>
      </c>
      <c r="D101" s="51">
        <v>1</v>
      </c>
      <c r="E101" s="178">
        <f>HYPERLINK("http://review.rb.de.conti.de:7779/forms/frmservlet?config=review&amp;otherparams=p_review_id=6517139",6517139)</f>
        <v>6517139</v>
      </c>
      <c r="F101" s="51">
        <v>0</v>
      </c>
      <c r="G101" s="51">
        <v>0</v>
      </c>
      <c r="H101" s="178">
        <f>HYPERLINK("http://review.rb.de.conti.de:7779/forms/frmservlet?config=review&amp;otherparams=p_review_id=6517107",6517107)</f>
        <v>6517107</v>
      </c>
      <c r="I101" s="55">
        <v>1</v>
      </c>
      <c r="J101" s="55">
        <v>1</v>
      </c>
      <c r="K101" s="55">
        <v>1</v>
      </c>
      <c r="L101" s="54" t="s">
        <v>38</v>
      </c>
      <c r="M101" s="76"/>
      <c r="N101" s="176"/>
      <c r="O101" s="36" t="s">
        <v>224</v>
      </c>
    </row>
    <row r="102" spans="1:15" ht="13.5" customHeight="1" x14ac:dyDescent="0.2">
      <c r="A102" s="94" t="s">
        <v>196</v>
      </c>
      <c r="B102" s="77" t="s">
        <v>225</v>
      </c>
      <c r="C102" s="177" t="s">
        <v>301</v>
      </c>
      <c r="D102" s="51">
        <v>1</v>
      </c>
      <c r="E102" s="178">
        <f>HYPERLINK("http://review.rb.de.conti.de:7779/forms/frmservlet?config=review&amp;otherparams=p_review_id=6542376",6542376)</f>
        <v>6542376</v>
      </c>
      <c r="F102" s="51">
        <v>0</v>
      </c>
      <c r="G102" s="51">
        <v>0</v>
      </c>
      <c r="H102" s="178">
        <f>HYPERLINK("http://review.rb.de.conti.de:7779/forms/frmservlet?config=review&amp;otherparams=p_review_id=6542335",6542335)</f>
        <v>6542335</v>
      </c>
      <c r="I102" s="55" t="s">
        <v>38</v>
      </c>
      <c r="J102" s="55" t="s">
        <v>38</v>
      </c>
      <c r="K102" s="55" t="s">
        <v>38</v>
      </c>
      <c r="L102" s="54" t="s">
        <v>38</v>
      </c>
      <c r="M102" s="76" t="s">
        <v>180</v>
      </c>
      <c r="N102" s="176"/>
      <c r="O102" s="36" t="s">
        <v>226</v>
      </c>
    </row>
    <row r="103" spans="1:15" ht="13.5" customHeight="1" x14ac:dyDescent="0.2">
      <c r="A103" s="94" t="s">
        <v>196</v>
      </c>
      <c r="B103" s="77" t="s">
        <v>227</v>
      </c>
      <c r="C103" s="177" t="s">
        <v>400</v>
      </c>
      <c r="D103" s="51">
        <v>1</v>
      </c>
      <c r="E103" s="178">
        <f>HYPERLINK("http://review.rb.de.conti.de:7779/forms/frmservlet?config=review&amp;otherparams=p_review_id=7167463",7167463)</f>
        <v>7167463</v>
      </c>
      <c r="F103" s="51">
        <v>0</v>
      </c>
      <c r="G103" s="51">
        <v>0</v>
      </c>
      <c r="H103" s="178">
        <f>HYPERLINK("http://review.rb.de.conti.de:7779/forms/frmservlet?config=review&amp;otherparams=p_review_id=7167526",7167526)</f>
        <v>7167526</v>
      </c>
      <c r="I103" s="55" t="s">
        <v>38</v>
      </c>
      <c r="J103" s="55" t="s">
        <v>38</v>
      </c>
      <c r="K103" s="55" t="s">
        <v>38</v>
      </c>
      <c r="L103" s="54" t="s">
        <v>38</v>
      </c>
      <c r="M103" s="76" t="s">
        <v>180</v>
      </c>
      <c r="N103" s="176"/>
      <c r="O103" s="36" t="s">
        <v>228</v>
      </c>
    </row>
    <row r="104" spans="1:15" ht="13.5" customHeight="1" x14ac:dyDescent="0.2">
      <c r="A104" s="94" t="s">
        <v>229</v>
      </c>
      <c r="B104" s="77" t="s">
        <v>230</v>
      </c>
      <c r="C104" s="177" t="s">
        <v>319</v>
      </c>
      <c r="D104" s="51">
        <v>1</v>
      </c>
      <c r="E104" s="178">
        <f>HYPERLINK("http://review.rb.de.conti.de:7779/forms/frmservlet?config=review&amp;otherparams=p_review_id=6542376",6542376)</f>
        <v>6542376</v>
      </c>
      <c r="F104" s="51">
        <v>0</v>
      </c>
      <c r="G104" s="51">
        <v>0</v>
      </c>
      <c r="H104" s="178">
        <f>HYPERLINK("http://review.rb.de.conti.de:7779/forms/frmservlet?config=review&amp;otherparams=p_review_id=6542335",6542335)</f>
        <v>6542335</v>
      </c>
      <c r="I104" s="55">
        <v>1</v>
      </c>
      <c r="J104" s="55">
        <v>1</v>
      </c>
      <c r="K104" s="55">
        <v>1</v>
      </c>
      <c r="L104" s="54" t="s">
        <v>38</v>
      </c>
      <c r="M104" s="76"/>
      <c r="N104" s="176"/>
      <c r="O104" s="36" t="s">
        <v>231</v>
      </c>
    </row>
    <row r="105" spans="1:15" ht="13.5" customHeight="1" x14ac:dyDescent="0.2">
      <c r="A105" s="94" t="s">
        <v>229</v>
      </c>
      <c r="B105" s="77" t="s">
        <v>232</v>
      </c>
      <c r="C105" s="177" t="s">
        <v>283</v>
      </c>
      <c r="D105" s="51">
        <v>1</v>
      </c>
      <c r="E105" s="178">
        <f>HYPERLINK("http://review.rb.de.conti.de:7779/forms/frmservlet?config=review&amp;otherparams=p_review_id=6542376",6542376)</f>
        <v>6542376</v>
      </c>
      <c r="F105" s="51">
        <v>0</v>
      </c>
      <c r="G105" s="51">
        <v>0</v>
      </c>
      <c r="H105" s="178">
        <f>HYPERLINK("http://review.rb.de.conti.de:7779/forms/frmservlet?config=review&amp;otherparams=p_review_id=6542335",6542335)</f>
        <v>6542335</v>
      </c>
      <c r="I105" s="55" t="s">
        <v>38</v>
      </c>
      <c r="J105" s="55" t="s">
        <v>38</v>
      </c>
      <c r="K105" s="55" t="s">
        <v>38</v>
      </c>
      <c r="L105" s="54" t="s">
        <v>38</v>
      </c>
      <c r="M105" s="76" t="s">
        <v>180</v>
      </c>
      <c r="N105" s="176"/>
      <c r="O105" s="36" t="s">
        <v>233</v>
      </c>
    </row>
    <row r="106" spans="1:15" ht="13.5" customHeight="1" x14ac:dyDescent="0.2">
      <c r="A106" s="94" t="s">
        <v>229</v>
      </c>
      <c r="B106" s="77" t="s">
        <v>234</v>
      </c>
      <c r="C106" s="177" t="s">
        <v>378</v>
      </c>
      <c r="D106" s="51">
        <v>1</v>
      </c>
      <c r="E106" s="178">
        <f>HYPERLINK("http://review.rb.de.conti.de:7779/forms/frmservlet?config=review&amp;otherparams=p_review_id=6517139",6517139)</f>
        <v>6517139</v>
      </c>
      <c r="F106" s="51">
        <v>0</v>
      </c>
      <c r="G106" s="51">
        <v>0</v>
      </c>
      <c r="H106" s="178">
        <f>HYPERLINK("http://review.rb.de.conti.de:7779/forms/frmservlet?config=review&amp;otherparams=p_review_id=6517107",6517107)</f>
        <v>6517107</v>
      </c>
      <c r="I106" s="55" t="s">
        <v>38</v>
      </c>
      <c r="J106" s="55" t="s">
        <v>38</v>
      </c>
      <c r="K106" s="55" t="s">
        <v>38</v>
      </c>
      <c r="L106" s="54" t="s">
        <v>38</v>
      </c>
      <c r="M106" s="76" t="s">
        <v>180</v>
      </c>
      <c r="N106" s="176"/>
      <c r="O106" s="36" t="s">
        <v>235</v>
      </c>
    </row>
    <row r="107" spans="1:15" ht="13.5" customHeight="1" x14ac:dyDescent="0.2">
      <c r="A107" s="94" t="s">
        <v>229</v>
      </c>
      <c r="B107" s="77" t="s">
        <v>236</v>
      </c>
      <c r="C107" s="177" t="s">
        <v>319</v>
      </c>
      <c r="D107" s="51">
        <v>1</v>
      </c>
      <c r="E107" s="178">
        <f>HYPERLINK("http://review.rb.de.conti.de:7779/forms/frmservlet?config=review&amp;otherparams=p_review_id=6542376",6542376)</f>
        <v>6542376</v>
      </c>
      <c r="F107" s="51">
        <v>0</v>
      </c>
      <c r="G107" s="51">
        <v>0</v>
      </c>
      <c r="H107" s="178">
        <f>HYPERLINK("http://review.rb.de.conti.de:7779/forms/frmservlet?config=review&amp;otherparams=p_review_id=6542335",6542335)</f>
        <v>6542335</v>
      </c>
      <c r="I107" s="55">
        <v>1</v>
      </c>
      <c r="J107" s="55">
        <v>1</v>
      </c>
      <c r="K107" s="55">
        <v>1</v>
      </c>
      <c r="L107" s="54" t="s">
        <v>38</v>
      </c>
      <c r="M107" s="76"/>
      <c r="N107" s="176"/>
      <c r="O107" s="36" t="s">
        <v>237</v>
      </c>
    </row>
    <row r="108" spans="1:15" ht="13.5" customHeight="1" x14ac:dyDescent="0.2">
      <c r="A108" s="94" t="s">
        <v>229</v>
      </c>
      <c r="B108" s="77" t="s">
        <v>238</v>
      </c>
      <c r="C108" s="177" t="s">
        <v>380</v>
      </c>
      <c r="D108" s="51">
        <v>1</v>
      </c>
      <c r="E108" s="178">
        <f>HYPERLINK("http://review.rb.de.conti.de:7779/forms/frmservlet?config=review&amp;otherparams=p_review_id=6542376",6542376)</f>
        <v>6542376</v>
      </c>
      <c r="F108" s="51">
        <v>0</v>
      </c>
      <c r="G108" s="51">
        <v>0</v>
      </c>
      <c r="H108" s="178">
        <f>HYPERLINK("http://review.rb.de.conti.de:7779/forms/frmservlet?config=review&amp;otherparams=p_review_id=6542335",6542335)</f>
        <v>6542335</v>
      </c>
      <c r="I108" s="55" t="s">
        <v>38</v>
      </c>
      <c r="J108" s="55" t="s">
        <v>38</v>
      </c>
      <c r="K108" s="55" t="s">
        <v>38</v>
      </c>
      <c r="L108" s="54" t="s">
        <v>38</v>
      </c>
      <c r="M108" s="76" t="s">
        <v>180</v>
      </c>
      <c r="N108" s="176"/>
      <c r="O108" s="36" t="s">
        <v>239</v>
      </c>
    </row>
    <row r="109" spans="1:15" ht="13.5" customHeight="1" x14ac:dyDescent="0.2">
      <c r="A109" s="94" t="s">
        <v>229</v>
      </c>
      <c r="B109" s="77" t="s">
        <v>240</v>
      </c>
      <c r="C109" s="177" t="s">
        <v>301</v>
      </c>
      <c r="D109" s="51">
        <v>1</v>
      </c>
      <c r="E109" s="178">
        <f>HYPERLINK("http://review.rb.de.conti.de:7779/forms/frmservlet?config=review&amp;otherparams=p_review_id=6542376",6542376)</f>
        <v>6542376</v>
      </c>
      <c r="F109" s="51">
        <v>0</v>
      </c>
      <c r="G109" s="51">
        <v>0</v>
      </c>
      <c r="H109" s="178">
        <f>HYPERLINK("http://review.rb.de.conti.de:7779/forms/frmservlet?config=review&amp;otherparams=p_review_id=6542335",6542335)</f>
        <v>6542335</v>
      </c>
      <c r="I109" s="55" t="s">
        <v>38</v>
      </c>
      <c r="J109" s="55" t="s">
        <v>38</v>
      </c>
      <c r="K109" s="55" t="s">
        <v>38</v>
      </c>
      <c r="L109" s="54" t="s">
        <v>38</v>
      </c>
      <c r="M109" s="76" t="s">
        <v>180</v>
      </c>
      <c r="N109" s="176"/>
      <c r="O109" s="36" t="s">
        <v>241</v>
      </c>
    </row>
    <row r="110" spans="1:15" ht="13.5" customHeight="1" x14ac:dyDescent="0.2">
      <c r="A110" s="94" t="s">
        <v>229</v>
      </c>
      <c r="B110" s="77" t="s">
        <v>289</v>
      </c>
      <c r="C110" s="177" t="s">
        <v>301</v>
      </c>
      <c r="D110" s="51">
        <v>1</v>
      </c>
      <c r="E110" s="178">
        <f>HYPERLINK("http://review.rb.de.conti.de:7779/forms/frmservlet?config=review&amp;otherparams=p_review_id=6542376",6542376)</f>
        <v>6542376</v>
      </c>
      <c r="F110" s="51">
        <v>0</v>
      </c>
      <c r="G110" s="51">
        <v>0</v>
      </c>
      <c r="H110" s="178">
        <f>HYPERLINK("http://review.rb.de.conti.de:7779/forms/frmservlet?config=review&amp;otherparams=p_review_id=6542335",6542335)</f>
        <v>6542335</v>
      </c>
      <c r="I110" s="55" t="s">
        <v>38</v>
      </c>
      <c r="J110" s="55" t="s">
        <v>38</v>
      </c>
      <c r="K110" s="55" t="s">
        <v>38</v>
      </c>
      <c r="L110" s="54" t="s">
        <v>38</v>
      </c>
      <c r="M110" s="76" t="s">
        <v>180</v>
      </c>
      <c r="N110" s="176"/>
      <c r="O110" s="36" t="s">
        <v>290</v>
      </c>
    </row>
    <row r="111" spans="1:15" ht="13.5" customHeight="1" x14ac:dyDescent="0.2">
      <c r="A111" s="94" t="s">
        <v>229</v>
      </c>
      <c r="B111" s="77" t="s">
        <v>242</v>
      </c>
      <c r="C111" s="177" t="s">
        <v>257</v>
      </c>
      <c r="D111" s="51">
        <v>1</v>
      </c>
      <c r="E111" s="178">
        <f>HYPERLINK("http://review.rb.de.conti.de:7779/forms/frmservlet?config=review&amp;otherparams=p_review_id=6542376",6542376)</f>
        <v>6542376</v>
      </c>
      <c r="F111" s="51">
        <v>0</v>
      </c>
      <c r="G111" s="51">
        <v>0</v>
      </c>
      <c r="H111" s="178">
        <f>HYPERLINK("http://review.rb.de.conti.de:7779/forms/frmservlet?config=review&amp;otherparams=p_review_id=6542335",6542335)</f>
        <v>6542335</v>
      </c>
      <c r="I111" s="55" t="s">
        <v>38</v>
      </c>
      <c r="J111" s="55" t="s">
        <v>38</v>
      </c>
      <c r="K111" s="55" t="s">
        <v>38</v>
      </c>
      <c r="L111" s="54" t="s">
        <v>38</v>
      </c>
      <c r="M111" s="76" t="s">
        <v>180</v>
      </c>
      <c r="N111" s="176"/>
      <c r="O111" s="36" t="s">
        <v>243</v>
      </c>
    </row>
    <row r="112" spans="1:15" ht="13.5" customHeight="1" x14ac:dyDescent="0.2">
      <c r="A112" s="94" t="s">
        <v>229</v>
      </c>
      <c r="B112" s="77" t="s">
        <v>179</v>
      </c>
      <c r="C112" s="177" t="s">
        <v>324</v>
      </c>
      <c r="D112" s="51">
        <v>1</v>
      </c>
      <c r="E112" s="178">
        <f>HYPERLINK("http://review.rb.de.conti.de:7779/forms/frmservlet?config=review&amp;otherparams=p_review_id=6220529",6220529)</f>
        <v>6220529</v>
      </c>
      <c r="F112" s="51">
        <v>0</v>
      </c>
      <c r="G112" s="51">
        <v>0</v>
      </c>
      <c r="H112" s="178">
        <f>HYPERLINK("http://review.rb.de.conti.de:7779/forms/frmservlet?config=review&amp;otherparams=p_review_id=6220510",6220510)</f>
        <v>6220510</v>
      </c>
      <c r="I112" s="55" t="s">
        <v>38</v>
      </c>
      <c r="J112" s="55" t="s">
        <v>38</v>
      </c>
      <c r="K112" s="55" t="s">
        <v>38</v>
      </c>
      <c r="L112" s="54" t="s">
        <v>38</v>
      </c>
      <c r="M112" s="76" t="s">
        <v>180</v>
      </c>
      <c r="N112" s="176"/>
      <c r="O112" s="36" t="s">
        <v>244</v>
      </c>
    </row>
    <row r="113" spans="1:15" ht="13.5" customHeight="1" x14ac:dyDescent="0.2">
      <c r="A113" s="94" t="s">
        <v>229</v>
      </c>
      <c r="B113" s="77" t="s">
        <v>245</v>
      </c>
      <c r="C113" s="177" t="s">
        <v>319</v>
      </c>
      <c r="D113" s="51">
        <v>1</v>
      </c>
      <c r="E113" s="178">
        <f>HYPERLINK("http://review.rb.de.conti.de:7779/forms/frmservlet?config=review&amp;otherparams=p_review_id=6542376",6542376)</f>
        <v>6542376</v>
      </c>
      <c r="F113" s="51">
        <v>0</v>
      </c>
      <c r="G113" s="51">
        <v>0</v>
      </c>
      <c r="H113" s="178">
        <f>HYPERLINK("http://review.rb.de.conti.de:7779/forms/frmservlet?config=review&amp;otherparams=p_review_id=6542335",6542335)</f>
        <v>6542335</v>
      </c>
      <c r="I113" s="55">
        <v>1</v>
      </c>
      <c r="J113" s="55">
        <v>1</v>
      </c>
      <c r="K113" s="55">
        <v>1</v>
      </c>
      <c r="L113" s="54" t="s">
        <v>38</v>
      </c>
      <c r="M113" s="76"/>
      <c r="N113" s="176"/>
      <c r="O113" s="36" t="s">
        <v>246</v>
      </c>
    </row>
    <row r="114" spans="1:15" ht="13.5" customHeight="1" x14ac:dyDescent="0.2">
      <c r="A114" s="94" t="s">
        <v>229</v>
      </c>
      <c r="B114" s="77" t="s">
        <v>247</v>
      </c>
      <c r="C114" s="177" t="s">
        <v>283</v>
      </c>
      <c r="D114" s="51">
        <v>1</v>
      </c>
      <c r="E114" s="178">
        <f>HYPERLINK("http://review.rb.de.conti.de:7779/forms/frmservlet?config=review&amp;otherparams=p_review_id=6542376",6542376)</f>
        <v>6542376</v>
      </c>
      <c r="F114" s="51">
        <v>0</v>
      </c>
      <c r="G114" s="51">
        <v>0</v>
      </c>
      <c r="H114" s="178">
        <f>HYPERLINK("http://review.rb.de.conti.de:7779/forms/frmservlet?config=review&amp;otherparams=p_review_id=6542335",6542335)</f>
        <v>6542335</v>
      </c>
      <c r="I114" s="55" t="s">
        <v>38</v>
      </c>
      <c r="J114" s="55" t="s">
        <v>38</v>
      </c>
      <c r="K114" s="55" t="s">
        <v>38</v>
      </c>
      <c r="L114" s="54" t="s">
        <v>38</v>
      </c>
      <c r="M114" s="76" t="s">
        <v>180</v>
      </c>
      <c r="N114" s="176"/>
      <c r="O114" s="36" t="s">
        <v>248</v>
      </c>
    </row>
    <row r="115" spans="1:15" ht="13.5" customHeight="1" x14ac:dyDescent="0.2">
      <c r="A115" s="94" t="s">
        <v>229</v>
      </c>
      <c r="B115" s="77" t="s">
        <v>249</v>
      </c>
      <c r="C115" s="177" t="s">
        <v>429</v>
      </c>
      <c r="D115" s="51">
        <v>1</v>
      </c>
      <c r="E115" s="178">
        <f>HYPERLINK("http://links.conti.de/Review/?ReviewId=10094254",10094254)</f>
        <v>10094254</v>
      </c>
      <c r="F115" s="51">
        <v>0</v>
      </c>
      <c r="G115" s="51">
        <v>0</v>
      </c>
      <c r="H115" s="178">
        <f>HYPERLINK("http://links.conti.de/Review/?ReviewId=10094254",10094254)</f>
        <v>10094254</v>
      </c>
      <c r="I115" s="55" t="s">
        <v>38</v>
      </c>
      <c r="J115" s="55" t="s">
        <v>38</v>
      </c>
      <c r="K115" s="55" t="s">
        <v>38</v>
      </c>
      <c r="L115" s="54" t="s">
        <v>38</v>
      </c>
      <c r="M115" s="76" t="s">
        <v>180</v>
      </c>
      <c r="N115" s="176" t="s">
        <v>428</v>
      </c>
      <c r="O115" s="36" t="s">
        <v>250</v>
      </c>
    </row>
    <row r="116" spans="1:15" ht="13.5" customHeight="1" x14ac:dyDescent="0.2">
      <c r="A116" s="94" t="s">
        <v>229</v>
      </c>
      <c r="B116" s="77" t="s">
        <v>251</v>
      </c>
      <c r="C116" s="177" t="s">
        <v>324</v>
      </c>
      <c r="D116" s="51">
        <v>1</v>
      </c>
      <c r="E116" s="178">
        <f>HYPERLINK("http://review.rb.de.conti.de:7779/forms/frmservlet?config=review&amp;otherparams=p_review_id=6542376",6542376)</f>
        <v>6542376</v>
      </c>
      <c r="F116" s="51">
        <v>0</v>
      </c>
      <c r="G116" s="51">
        <v>0</v>
      </c>
      <c r="H116" s="178">
        <f>HYPERLINK("http://review.rb.de.conti.de:7779/forms/frmservlet?config=review&amp;otherparams=p_review_id=6542335",6542335)</f>
        <v>6542335</v>
      </c>
      <c r="I116" s="55" t="s">
        <v>38</v>
      </c>
      <c r="J116" s="55" t="s">
        <v>38</v>
      </c>
      <c r="K116" s="55" t="s">
        <v>38</v>
      </c>
      <c r="L116" s="54" t="s">
        <v>38</v>
      </c>
      <c r="M116" s="76" t="s">
        <v>180</v>
      </c>
      <c r="N116" s="176"/>
      <c r="O116" s="36" t="s">
        <v>252</v>
      </c>
    </row>
    <row r="117" spans="1:15" ht="13.5" customHeight="1" x14ac:dyDescent="0.2">
      <c r="A117" s="94" t="s">
        <v>271</v>
      </c>
      <c r="B117" s="77" t="s">
        <v>272</v>
      </c>
      <c r="C117" s="177" t="s">
        <v>195</v>
      </c>
      <c r="D117" s="51" t="s">
        <v>38</v>
      </c>
      <c r="E117" s="54" t="s">
        <v>38</v>
      </c>
      <c r="F117" s="51" t="s">
        <v>38</v>
      </c>
      <c r="G117" s="51" t="s">
        <v>38</v>
      </c>
      <c r="H117" s="54" t="s">
        <v>38</v>
      </c>
      <c r="I117" s="55" t="s">
        <v>38</v>
      </c>
      <c r="J117" s="55" t="s">
        <v>38</v>
      </c>
      <c r="K117" s="55" t="s">
        <v>38</v>
      </c>
      <c r="L117" s="178">
        <f>HYPERLINK("http://review.rb.de.conti.de:7779/forms/frmservlet?config=review&amp;otherparams=p_review_id=6013226",6013226)</f>
        <v>6013226</v>
      </c>
      <c r="M117" s="76"/>
      <c r="N117" s="176"/>
      <c r="O117" s="36" t="s">
        <v>273</v>
      </c>
    </row>
    <row r="118" spans="1:15" ht="13.5" customHeight="1" x14ac:dyDescent="0.2">
      <c r="A118" s="94" t="s">
        <v>258</v>
      </c>
      <c r="B118" s="77" t="s">
        <v>259</v>
      </c>
      <c r="C118" s="177" t="s">
        <v>194</v>
      </c>
      <c r="D118" s="51" t="s">
        <v>38</v>
      </c>
      <c r="E118" s="54" t="s">
        <v>38</v>
      </c>
      <c r="F118" s="51" t="s">
        <v>38</v>
      </c>
      <c r="G118" s="51" t="s">
        <v>38</v>
      </c>
      <c r="H118" s="54" t="s">
        <v>38</v>
      </c>
      <c r="I118" s="55" t="s">
        <v>38</v>
      </c>
      <c r="J118" s="55" t="s">
        <v>38</v>
      </c>
      <c r="K118" s="55" t="s">
        <v>38</v>
      </c>
      <c r="L118" s="178">
        <f>HYPERLINK("http://review.rb.de.conti.de:7779/forms/frmservlet?config=review&amp;otherparams=p_review_id=6252299",6252299)</f>
        <v>6252299</v>
      </c>
      <c r="M118" s="76"/>
      <c r="N118" s="176"/>
      <c r="O118" s="36" t="s">
        <v>260</v>
      </c>
    </row>
    <row r="119" spans="1:15" ht="13.5" customHeight="1" x14ac:dyDescent="0.2">
      <c r="A119" s="94" t="s">
        <v>342</v>
      </c>
      <c r="B119" s="77" t="s">
        <v>343</v>
      </c>
      <c r="C119" s="177" t="s">
        <v>194</v>
      </c>
      <c r="D119" s="51" t="s">
        <v>38</v>
      </c>
      <c r="E119" s="51" t="s">
        <v>38</v>
      </c>
      <c r="F119" s="51" t="s">
        <v>38</v>
      </c>
      <c r="G119" s="51" t="s">
        <v>38</v>
      </c>
      <c r="H119" s="54" t="s">
        <v>38</v>
      </c>
      <c r="I119" s="55" t="s">
        <v>38</v>
      </c>
      <c r="J119" s="55" t="s">
        <v>38</v>
      </c>
      <c r="K119" s="55" t="s">
        <v>38</v>
      </c>
      <c r="L119" s="178">
        <f>HYPERLINK("http://review.rb.de.conti.de:7779/forms/frmservlet?config=review&amp;otherparams=p_review_id=6827888",6827888)</f>
        <v>6827888</v>
      </c>
      <c r="M119" s="76"/>
      <c r="N119" s="176"/>
      <c r="O119" s="36" t="s">
        <v>344</v>
      </c>
    </row>
    <row r="120" spans="1:15" ht="13.5" customHeight="1" x14ac:dyDescent="0.2">
      <c r="A120" s="94" t="s">
        <v>345</v>
      </c>
      <c r="B120" s="77" t="s">
        <v>346</v>
      </c>
      <c r="C120" s="177" t="s">
        <v>183</v>
      </c>
      <c r="D120" s="51" t="s">
        <v>38</v>
      </c>
      <c r="E120" s="51" t="s">
        <v>38</v>
      </c>
      <c r="F120" s="51" t="s">
        <v>38</v>
      </c>
      <c r="G120" s="51" t="s">
        <v>38</v>
      </c>
      <c r="H120" s="54" t="s">
        <v>38</v>
      </c>
      <c r="I120" s="55" t="s">
        <v>38</v>
      </c>
      <c r="J120" s="55" t="s">
        <v>38</v>
      </c>
      <c r="K120" s="55" t="s">
        <v>38</v>
      </c>
      <c r="L120" s="178">
        <f>HYPERLINK("http://review.rb.de.conti.de:7779/forms/frmservlet?config=review&amp;otherparams=p_review_id=6100112",6100112)</f>
        <v>6100112</v>
      </c>
      <c r="M120" s="76"/>
      <c r="N120" s="176"/>
      <c r="O120" s="36" t="s">
        <v>347</v>
      </c>
    </row>
    <row r="121" spans="1:15" ht="13.5" customHeight="1" x14ac:dyDescent="0.2">
      <c r="A121" s="94" t="s">
        <v>348</v>
      </c>
      <c r="B121" s="77" t="s">
        <v>349</v>
      </c>
      <c r="C121" s="177" t="s">
        <v>194</v>
      </c>
      <c r="D121" s="51" t="s">
        <v>38</v>
      </c>
      <c r="E121" s="51" t="s">
        <v>38</v>
      </c>
      <c r="F121" s="51" t="s">
        <v>38</v>
      </c>
      <c r="G121" s="51" t="s">
        <v>38</v>
      </c>
      <c r="H121" s="54" t="s">
        <v>38</v>
      </c>
      <c r="I121" s="55" t="s">
        <v>38</v>
      </c>
      <c r="J121" s="55" t="s">
        <v>38</v>
      </c>
      <c r="K121" s="55" t="s">
        <v>38</v>
      </c>
      <c r="L121" s="178">
        <f>HYPERLINK("http://review.rb.de.conti.de:7779/forms/frmservlet?config=review&amp;otherparams=p_review_id=6013226",6013226)</f>
        <v>6013226</v>
      </c>
      <c r="M121" s="76"/>
      <c r="N121" s="176"/>
      <c r="O121" s="36" t="s">
        <v>350</v>
      </c>
    </row>
    <row r="122" spans="1:15" ht="13.5" customHeight="1" x14ac:dyDescent="0.2">
      <c r="A122" s="94" t="s">
        <v>351</v>
      </c>
      <c r="B122" s="77" t="s">
        <v>352</v>
      </c>
      <c r="C122" s="177" t="s">
        <v>187</v>
      </c>
      <c r="D122" s="51" t="s">
        <v>38</v>
      </c>
      <c r="E122" s="51" t="s">
        <v>38</v>
      </c>
      <c r="F122" s="51" t="s">
        <v>38</v>
      </c>
      <c r="G122" s="51" t="s">
        <v>38</v>
      </c>
      <c r="H122" s="54" t="s">
        <v>38</v>
      </c>
      <c r="I122" s="55" t="s">
        <v>38</v>
      </c>
      <c r="J122" s="55" t="s">
        <v>38</v>
      </c>
      <c r="K122" s="55" t="s">
        <v>38</v>
      </c>
      <c r="L122" s="178">
        <f>HYPERLINK("http://review.rb.de.conti.de:7779/forms/frmservlet?config=review&amp;otherparams=p_review_id=6013226",6013226)</f>
        <v>6013226</v>
      </c>
      <c r="M122" s="76"/>
      <c r="N122" s="176"/>
      <c r="O122" s="36" t="s">
        <v>353</v>
      </c>
    </row>
    <row r="123" spans="1:15" ht="13.5" customHeight="1" x14ac:dyDescent="0.2">
      <c r="A123" s="94" t="s">
        <v>274</v>
      </c>
      <c r="B123" s="77" t="s">
        <v>275</v>
      </c>
      <c r="C123" s="177" t="s">
        <v>389</v>
      </c>
      <c r="D123" s="51" t="s">
        <v>38</v>
      </c>
      <c r="E123" s="54" t="s">
        <v>38</v>
      </c>
      <c r="F123" s="51" t="s">
        <v>38</v>
      </c>
      <c r="G123" s="51" t="s">
        <v>38</v>
      </c>
      <c r="H123" s="54" t="s">
        <v>38</v>
      </c>
      <c r="I123" s="55" t="s">
        <v>38</v>
      </c>
      <c r="J123" s="55" t="s">
        <v>38</v>
      </c>
      <c r="K123" s="55" t="s">
        <v>38</v>
      </c>
      <c r="L123" s="178">
        <f>HYPERLINK("http://review.rb.de.conti.de:7779/forms/frmservlet?config=review&amp;otherparams=p_review_id=6883741",6883741)</f>
        <v>6883741</v>
      </c>
      <c r="M123" s="76"/>
      <c r="N123" s="176"/>
      <c r="O123" s="36" t="s">
        <v>276</v>
      </c>
    </row>
    <row r="124" spans="1:15" ht="13.5" customHeight="1" x14ac:dyDescent="0.2">
      <c r="A124" s="94" t="s">
        <v>261</v>
      </c>
      <c r="B124" s="77" t="s">
        <v>262</v>
      </c>
      <c r="C124" s="177" t="s">
        <v>195</v>
      </c>
      <c r="D124" s="51" t="s">
        <v>38</v>
      </c>
      <c r="E124" s="54" t="s">
        <v>38</v>
      </c>
      <c r="F124" s="51" t="s">
        <v>38</v>
      </c>
      <c r="G124" s="51" t="s">
        <v>38</v>
      </c>
      <c r="H124" s="54" t="s">
        <v>38</v>
      </c>
      <c r="I124" s="55" t="s">
        <v>38</v>
      </c>
      <c r="J124" s="55" t="s">
        <v>38</v>
      </c>
      <c r="K124" s="55" t="s">
        <v>38</v>
      </c>
      <c r="L124" s="178">
        <f>HYPERLINK("http://review.rb.de.conti.de:7779/forms/frmservlet?config=review&amp;otherparams=p_review_id=6013226",6013226)</f>
        <v>6013226</v>
      </c>
      <c r="M124" s="76"/>
      <c r="N124" s="176"/>
      <c r="O124" s="36" t="s">
        <v>263</v>
      </c>
    </row>
    <row r="125" spans="1:15" ht="13.5" customHeight="1" x14ac:dyDescent="0.2">
      <c r="A125" s="94" t="s">
        <v>277</v>
      </c>
      <c r="B125" s="77" t="s">
        <v>278</v>
      </c>
      <c r="C125" s="177" t="s">
        <v>323</v>
      </c>
      <c r="D125" s="51" t="s">
        <v>38</v>
      </c>
      <c r="E125" s="54" t="s">
        <v>38</v>
      </c>
      <c r="F125" s="51" t="s">
        <v>38</v>
      </c>
      <c r="G125" s="51" t="s">
        <v>38</v>
      </c>
      <c r="H125" s="54" t="s">
        <v>38</v>
      </c>
      <c r="I125" s="55" t="s">
        <v>38</v>
      </c>
      <c r="J125" s="55" t="s">
        <v>38</v>
      </c>
      <c r="K125" s="55" t="s">
        <v>38</v>
      </c>
      <c r="L125" s="178">
        <f>HYPERLINK("http://review.rb.de.conti.de:7779/forms/frmservlet?config=review&amp;otherparams=p_review_id=6419433",6419433)</f>
        <v>6419433</v>
      </c>
      <c r="M125" s="76"/>
      <c r="N125" s="176"/>
      <c r="O125" s="36" t="s">
        <v>279</v>
      </c>
    </row>
    <row r="126" spans="1:15" ht="13.5" customHeight="1" x14ac:dyDescent="0.2">
      <c r="A126" s="94" t="s">
        <v>264</v>
      </c>
      <c r="B126" s="77" t="s">
        <v>265</v>
      </c>
      <c r="C126" s="177" t="s">
        <v>365</v>
      </c>
      <c r="D126" s="51" t="s">
        <v>38</v>
      </c>
      <c r="E126" s="54" t="s">
        <v>38</v>
      </c>
      <c r="F126" s="51" t="s">
        <v>38</v>
      </c>
      <c r="G126" s="51" t="s">
        <v>38</v>
      </c>
      <c r="H126" s="54" t="s">
        <v>38</v>
      </c>
      <c r="I126" s="55" t="s">
        <v>38</v>
      </c>
      <c r="J126" s="55" t="s">
        <v>38</v>
      </c>
      <c r="K126" s="55" t="s">
        <v>38</v>
      </c>
      <c r="L126" s="178">
        <f>HYPERLINK("http://review.rb.de.conti.de:7779/forms/frmservlet?config=review&amp;otherparams=p_review_id=7167553",7167553)</f>
        <v>7167553</v>
      </c>
      <c r="M126" s="76"/>
      <c r="N126" s="176"/>
      <c r="O126" s="36" t="s">
        <v>266</v>
      </c>
    </row>
    <row r="127" spans="1:15" ht="13.5" customHeight="1" x14ac:dyDescent="0.2">
      <c r="A127" s="94" t="s">
        <v>267</v>
      </c>
      <c r="B127" s="77" t="s">
        <v>255</v>
      </c>
      <c r="C127" s="177" t="s">
        <v>257</v>
      </c>
      <c r="D127" s="51" t="s">
        <v>38</v>
      </c>
      <c r="E127" s="54" t="s">
        <v>38</v>
      </c>
      <c r="F127" s="51" t="s">
        <v>38</v>
      </c>
      <c r="G127" s="51" t="s">
        <v>38</v>
      </c>
      <c r="H127" s="54" t="s">
        <v>38</v>
      </c>
      <c r="I127" s="55" t="s">
        <v>38</v>
      </c>
      <c r="J127" s="55" t="s">
        <v>38</v>
      </c>
      <c r="K127" s="55" t="s">
        <v>38</v>
      </c>
      <c r="L127" s="178">
        <f>HYPERLINK("http://review.rb.de.conti.de:7779/forms/frmservlet?config=review&amp;otherparams=p_review_id=6100112",6100112)</f>
        <v>6100112</v>
      </c>
      <c r="M127" s="76"/>
      <c r="N127" s="176"/>
      <c r="O127" s="36" t="s">
        <v>268</v>
      </c>
    </row>
    <row r="128" spans="1:15" ht="13.5" customHeight="1" x14ac:dyDescent="0.2">
      <c r="A128" s="94" t="s">
        <v>280</v>
      </c>
      <c r="B128" s="77" t="s">
        <v>281</v>
      </c>
      <c r="C128" s="177" t="s">
        <v>323</v>
      </c>
      <c r="D128" s="51" t="s">
        <v>38</v>
      </c>
      <c r="E128" s="54" t="s">
        <v>38</v>
      </c>
      <c r="F128" s="51" t="s">
        <v>38</v>
      </c>
      <c r="G128" s="51" t="s">
        <v>38</v>
      </c>
      <c r="H128" s="54" t="s">
        <v>38</v>
      </c>
      <c r="I128" s="55" t="s">
        <v>38</v>
      </c>
      <c r="J128" s="55" t="s">
        <v>38</v>
      </c>
      <c r="K128" s="55" t="s">
        <v>38</v>
      </c>
      <c r="L128" s="178">
        <f>HYPERLINK("http://review.rb.de.conti.de:7779/forms/frmservlet?config=review&amp;otherparams=p_review_id=6252299",6252299)</f>
        <v>6252299</v>
      </c>
      <c r="M128" s="76"/>
      <c r="N128" s="176"/>
      <c r="O128" s="36" t="s">
        <v>282</v>
      </c>
    </row>
    <row r="129" spans="1:15" ht="13.5" customHeight="1" x14ac:dyDescent="0.2">
      <c r="A129" s="94" t="s">
        <v>291</v>
      </c>
      <c r="B129" s="77" t="s">
        <v>292</v>
      </c>
      <c r="C129" s="177" t="s">
        <v>390</v>
      </c>
      <c r="D129" s="51" t="s">
        <v>38</v>
      </c>
      <c r="E129" s="54" t="s">
        <v>38</v>
      </c>
      <c r="F129" s="51" t="s">
        <v>38</v>
      </c>
      <c r="G129" s="51" t="s">
        <v>38</v>
      </c>
      <c r="H129" s="54" t="s">
        <v>38</v>
      </c>
      <c r="I129" s="55" t="s">
        <v>38</v>
      </c>
      <c r="J129" s="55" t="s">
        <v>38</v>
      </c>
      <c r="K129" s="55" t="s">
        <v>38</v>
      </c>
      <c r="L129" s="178">
        <f>HYPERLINK("http://review.rb.de.conti.de:7779/forms/frmservlet?config=review&amp;otherparams=p_review_id=6883741",6883741)</f>
        <v>6883741</v>
      </c>
      <c r="M129" s="76"/>
      <c r="N129" s="176"/>
      <c r="O129" s="36" t="s">
        <v>293</v>
      </c>
    </row>
    <row r="130" spans="1:15" ht="13.5" customHeight="1" x14ac:dyDescent="0.2">
      <c r="A130" s="94" t="s">
        <v>294</v>
      </c>
      <c r="B130" s="77" t="s">
        <v>295</v>
      </c>
      <c r="C130" s="177" t="s">
        <v>364</v>
      </c>
      <c r="D130" s="51" t="s">
        <v>38</v>
      </c>
      <c r="E130" s="54" t="s">
        <v>38</v>
      </c>
      <c r="F130" s="51" t="s">
        <v>38</v>
      </c>
      <c r="G130" s="51" t="s">
        <v>38</v>
      </c>
      <c r="H130" s="54" t="s">
        <v>38</v>
      </c>
      <c r="I130" s="55" t="s">
        <v>38</v>
      </c>
      <c r="J130" s="55" t="s">
        <v>38</v>
      </c>
      <c r="K130" s="55" t="s">
        <v>38</v>
      </c>
      <c r="L130" s="178">
        <f>HYPERLINK("http://review.rb.de.conti.de:7779/forms/frmservlet?config=review&amp;otherparams=p_review_id=6512296",6512296)</f>
        <v>6512296</v>
      </c>
      <c r="M130" s="76"/>
      <c r="N130" s="176"/>
      <c r="O130" s="36" t="s">
        <v>296</v>
      </c>
    </row>
    <row r="131" spans="1:15" ht="13.5" customHeight="1" x14ac:dyDescent="0.2">
      <c r="A131" s="94" t="s">
        <v>306</v>
      </c>
      <c r="B131" s="77" t="s">
        <v>307</v>
      </c>
      <c r="C131" s="177" t="s">
        <v>378</v>
      </c>
      <c r="D131" s="51" t="s">
        <v>38</v>
      </c>
      <c r="E131" s="51" t="s">
        <v>38</v>
      </c>
      <c r="F131" s="51" t="s">
        <v>38</v>
      </c>
      <c r="G131" s="51" t="s">
        <v>38</v>
      </c>
      <c r="H131" s="54" t="s">
        <v>38</v>
      </c>
      <c r="I131" s="55" t="s">
        <v>38</v>
      </c>
      <c r="J131" s="55" t="s">
        <v>38</v>
      </c>
      <c r="K131" s="55" t="s">
        <v>38</v>
      </c>
      <c r="L131" s="178">
        <f>HYPERLINK("http://links.conti.de/Review/?ReviewId=10047924",10047924)</f>
        <v>10047924</v>
      </c>
      <c r="M131" s="76"/>
      <c r="N131" s="176" t="s">
        <v>418</v>
      </c>
      <c r="O131" s="36" t="s">
        <v>308</v>
      </c>
    </row>
    <row r="132" spans="1:15" ht="13.5" customHeight="1" x14ac:dyDescent="0.2">
      <c r="A132" s="94" t="s">
        <v>269</v>
      </c>
      <c r="B132" s="77" t="s">
        <v>256</v>
      </c>
      <c r="C132" s="177" t="s">
        <v>194</v>
      </c>
      <c r="D132" s="51" t="s">
        <v>38</v>
      </c>
      <c r="E132" s="54" t="s">
        <v>38</v>
      </c>
      <c r="F132" s="51" t="s">
        <v>38</v>
      </c>
      <c r="G132" s="51" t="s">
        <v>38</v>
      </c>
      <c r="H132" s="54" t="s">
        <v>38</v>
      </c>
      <c r="I132" s="55" t="s">
        <v>38</v>
      </c>
      <c r="J132" s="55" t="s">
        <v>38</v>
      </c>
      <c r="K132" s="55" t="s">
        <v>38</v>
      </c>
      <c r="L132" s="178">
        <f>HYPERLINK("http://review.rb.de.conti.de:7779/forms/frmservlet?config=review&amp;otherparams=p_review_id=6386460",6386460)</f>
        <v>6386460</v>
      </c>
      <c r="M132" s="76"/>
      <c r="N132" s="176"/>
      <c r="O132" s="36" t="s">
        <v>270</v>
      </c>
    </row>
    <row r="133" spans="1:15" ht="13.5" customHeight="1" x14ac:dyDescent="0.2">
      <c r="A133" s="94" t="s">
        <v>254</v>
      </c>
      <c r="B133" s="77" t="s">
        <v>297</v>
      </c>
      <c r="C133" s="177" t="s">
        <v>257</v>
      </c>
      <c r="D133" s="51" t="s">
        <v>38</v>
      </c>
      <c r="E133" s="54" t="s">
        <v>38</v>
      </c>
      <c r="F133" s="51" t="s">
        <v>38</v>
      </c>
      <c r="G133" s="51" t="s">
        <v>38</v>
      </c>
      <c r="H133" s="54" t="s">
        <v>38</v>
      </c>
      <c r="I133" s="55" t="s">
        <v>38</v>
      </c>
      <c r="J133" s="55" t="s">
        <v>38</v>
      </c>
      <c r="K133" s="55" t="s">
        <v>38</v>
      </c>
      <c r="L133" s="178">
        <f>HYPERLINK("http://review.rb.de.conti.de:7779/forms/frmservlet?config=review&amp;otherparams=p_review_id=6100112",6100112)</f>
        <v>6100112</v>
      </c>
      <c r="M133" s="76"/>
      <c r="N133" s="176"/>
      <c r="O133" s="36" t="s">
        <v>298</v>
      </c>
    </row>
    <row r="134" spans="1:15" ht="13.5" customHeight="1" x14ac:dyDescent="0.2">
      <c r="A134" s="94" t="s">
        <v>254</v>
      </c>
      <c r="B134" s="77" t="s">
        <v>299</v>
      </c>
      <c r="C134" s="177" t="s">
        <v>301</v>
      </c>
      <c r="D134" s="51" t="s">
        <v>38</v>
      </c>
      <c r="E134" s="54" t="s">
        <v>38</v>
      </c>
      <c r="F134" s="51" t="s">
        <v>38</v>
      </c>
      <c r="G134" s="51" t="s">
        <v>38</v>
      </c>
      <c r="H134" s="54" t="s">
        <v>38</v>
      </c>
      <c r="I134" s="55" t="s">
        <v>38</v>
      </c>
      <c r="J134" s="55" t="s">
        <v>38</v>
      </c>
      <c r="K134" s="55" t="s">
        <v>38</v>
      </c>
      <c r="L134" s="178" t="s">
        <v>38</v>
      </c>
      <c r="M134" s="76" t="s">
        <v>180</v>
      </c>
      <c r="N134" s="176"/>
      <c r="O134" s="36" t="s">
        <v>300</v>
      </c>
    </row>
    <row r="135" spans="1:15" ht="13.5" customHeight="1" x14ac:dyDescent="0.2">
      <c r="A135" s="94" t="s">
        <v>61</v>
      </c>
      <c r="B135" s="77" t="s">
        <v>100</v>
      </c>
      <c r="C135" s="47"/>
      <c r="D135" s="51" t="s">
        <v>38</v>
      </c>
      <c r="E135" s="54" t="s">
        <v>38</v>
      </c>
      <c r="F135" s="51" t="s">
        <v>38</v>
      </c>
      <c r="G135" s="51" t="s">
        <v>38</v>
      </c>
      <c r="H135" s="54" t="s">
        <v>38</v>
      </c>
      <c r="I135" s="55" t="s">
        <v>38</v>
      </c>
      <c r="J135" s="55" t="s">
        <v>38</v>
      </c>
      <c r="K135" s="55" t="s">
        <v>38</v>
      </c>
      <c r="L135" s="54" t="s">
        <v>38</v>
      </c>
      <c r="M135" s="78"/>
    </row>
    <row r="136" spans="1:15" s="83" customFormat="1" ht="15.75" x14ac:dyDescent="0.25">
      <c r="A136" s="79"/>
      <c r="B136" s="80"/>
      <c r="C136" s="81"/>
      <c r="D136" s="82"/>
      <c r="E136" s="179">
        <f>MAX(E11:E135)</f>
        <v>10094254</v>
      </c>
      <c r="F136" s="82"/>
      <c r="G136" s="82"/>
      <c r="H136" s="179">
        <f>MAX(H11:H135)</f>
        <v>10094254</v>
      </c>
      <c r="I136" s="82"/>
      <c r="J136" s="82"/>
      <c r="K136" s="82"/>
      <c r="L136" s="179">
        <f>MAX(L11:L135)</f>
        <v>10047924</v>
      </c>
    </row>
    <row r="137" spans="1:15" s="83" customFormat="1" ht="15.75" x14ac:dyDescent="0.25">
      <c r="A137" s="79"/>
      <c r="B137" s="80"/>
      <c r="C137" s="84"/>
      <c r="D137" s="82"/>
      <c r="E137" s="82"/>
      <c r="F137" s="82"/>
      <c r="G137" s="82"/>
      <c r="H137" s="82"/>
      <c r="I137" s="82"/>
      <c r="J137" s="82"/>
      <c r="K137" s="82"/>
      <c r="L137" s="82"/>
    </row>
    <row r="138" spans="1:15" s="83" customFormat="1" ht="25.5" customHeight="1" x14ac:dyDescent="0.2">
      <c r="A138" s="79"/>
      <c r="B138" s="79"/>
      <c r="C138" s="79"/>
      <c r="D138" s="85"/>
      <c r="E138" s="85"/>
      <c r="F138" s="85"/>
      <c r="G138" s="86"/>
      <c r="H138" s="86"/>
      <c r="I138" s="86"/>
      <c r="J138" s="86"/>
      <c r="K138" s="86"/>
      <c r="L138" s="86"/>
    </row>
    <row r="139" spans="1:15" s="83" customFormat="1" ht="25.5" customHeight="1" x14ac:dyDescent="0.2">
      <c r="A139" s="79"/>
      <c r="B139" s="79"/>
      <c r="C139" s="79"/>
      <c r="D139" s="85"/>
      <c r="E139" s="85"/>
      <c r="F139" s="85"/>
      <c r="G139" s="86"/>
      <c r="H139" s="86"/>
      <c r="I139" s="86"/>
      <c r="J139" s="86"/>
      <c r="K139" s="86"/>
      <c r="L139" s="86"/>
    </row>
    <row r="140" spans="1:15" s="83" customFormat="1" ht="25.5" customHeight="1" x14ac:dyDescent="0.2">
      <c r="A140" s="79"/>
      <c r="B140" s="79"/>
      <c r="C140" s="79"/>
      <c r="D140" s="85"/>
      <c r="E140" s="85"/>
      <c r="F140" s="85"/>
      <c r="G140" s="86"/>
      <c r="H140" s="86"/>
      <c r="I140" s="86"/>
      <c r="J140" s="86"/>
      <c r="K140" s="86"/>
      <c r="L140" s="86"/>
    </row>
    <row r="141" spans="1:15" s="83" customFormat="1" ht="25.5" customHeight="1" x14ac:dyDescent="0.2">
      <c r="A141" s="79"/>
      <c r="B141" s="79"/>
      <c r="C141" s="79"/>
      <c r="D141" s="85"/>
      <c r="E141" s="85"/>
      <c r="F141" s="85"/>
      <c r="G141" s="86"/>
      <c r="H141" s="86"/>
      <c r="I141" s="86"/>
      <c r="J141" s="86"/>
      <c r="K141" s="86"/>
      <c r="L141" s="86"/>
    </row>
    <row r="142" spans="1:15" s="83" customFormat="1" ht="25.5" customHeight="1" x14ac:dyDescent="0.2">
      <c r="A142" s="79"/>
      <c r="B142" s="79"/>
      <c r="C142" s="79"/>
      <c r="D142" s="85"/>
      <c r="E142" s="85"/>
      <c r="F142" s="85"/>
      <c r="G142" s="86"/>
      <c r="H142" s="86"/>
      <c r="I142" s="86"/>
      <c r="J142" s="86"/>
      <c r="K142" s="86"/>
      <c r="L142" s="86"/>
    </row>
    <row r="143" spans="1:15" s="83" customFormat="1" ht="25.5" customHeight="1" x14ac:dyDescent="0.2">
      <c r="A143" s="79"/>
      <c r="B143" s="79"/>
      <c r="C143" s="79"/>
      <c r="D143" s="85"/>
      <c r="E143" s="85"/>
      <c r="F143" s="85"/>
      <c r="G143" s="86"/>
      <c r="H143" s="86"/>
      <c r="I143" s="86"/>
      <c r="J143" s="86"/>
      <c r="K143" s="86"/>
      <c r="L143" s="86"/>
    </row>
    <row r="144" spans="1:15" s="83" customFormat="1" ht="25.5" customHeight="1" x14ac:dyDescent="0.2">
      <c r="A144" s="79"/>
      <c r="B144" s="79"/>
      <c r="C144" s="79"/>
      <c r="D144" s="85"/>
      <c r="E144" s="85"/>
      <c r="F144" s="85"/>
      <c r="G144" s="86"/>
      <c r="H144" s="86"/>
      <c r="I144" s="86"/>
      <c r="J144" s="86"/>
      <c r="K144" s="86"/>
      <c r="L144" s="86"/>
    </row>
    <row r="145" spans="1:12" s="83" customFormat="1" ht="25.5" customHeight="1" x14ac:dyDescent="0.2">
      <c r="A145" s="79"/>
      <c r="B145" s="79"/>
      <c r="C145" s="79"/>
      <c r="D145" s="85"/>
      <c r="E145" s="85"/>
      <c r="F145" s="85"/>
      <c r="G145" s="86"/>
      <c r="H145" s="86"/>
      <c r="I145" s="86"/>
      <c r="J145" s="86"/>
      <c r="K145" s="86"/>
      <c r="L145" s="86"/>
    </row>
    <row r="146" spans="1:12" s="83" customFormat="1" ht="25.5" customHeight="1" x14ac:dyDescent="0.2">
      <c r="A146" s="79"/>
      <c r="B146" s="79"/>
      <c r="C146" s="79"/>
      <c r="D146" s="85"/>
      <c r="E146" s="85"/>
      <c r="F146" s="85"/>
      <c r="G146" s="86"/>
      <c r="H146" s="86"/>
      <c r="I146" s="86"/>
      <c r="J146" s="86"/>
      <c r="K146" s="86"/>
      <c r="L146" s="86"/>
    </row>
    <row r="147" spans="1:12" s="83" customFormat="1" ht="25.5" customHeight="1" x14ac:dyDescent="0.2">
      <c r="A147" s="79"/>
      <c r="B147" s="79"/>
      <c r="C147" s="79"/>
      <c r="D147" s="85"/>
      <c r="E147" s="85"/>
      <c r="F147" s="85"/>
      <c r="G147" s="86"/>
      <c r="H147" s="86"/>
      <c r="I147" s="86"/>
      <c r="J147" s="86"/>
      <c r="K147" s="86"/>
      <c r="L147" s="86"/>
    </row>
    <row r="148" spans="1:12" s="83" customFormat="1" ht="25.5" customHeight="1" x14ac:dyDescent="0.2">
      <c r="A148" s="79"/>
      <c r="B148" s="79"/>
      <c r="C148" s="79"/>
      <c r="D148" s="85"/>
      <c r="E148" s="85"/>
      <c r="F148" s="85"/>
      <c r="G148" s="86"/>
      <c r="H148" s="86"/>
      <c r="I148" s="86"/>
      <c r="J148" s="86"/>
      <c r="K148" s="86"/>
      <c r="L148" s="86"/>
    </row>
    <row r="149" spans="1:12" s="83" customFormat="1" ht="25.5" customHeight="1" x14ac:dyDescent="0.2">
      <c r="A149" s="79"/>
      <c r="B149" s="79"/>
      <c r="C149" s="79"/>
      <c r="D149" s="85"/>
      <c r="E149" s="85"/>
      <c r="F149" s="85"/>
      <c r="G149" s="86"/>
      <c r="H149" s="86"/>
      <c r="I149" s="86"/>
      <c r="J149" s="86"/>
      <c r="K149" s="86"/>
      <c r="L149" s="86"/>
    </row>
    <row r="150" spans="1:12" s="83" customFormat="1" ht="25.5" customHeight="1" x14ac:dyDescent="0.2">
      <c r="A150" s="79"/>
      <c r="B150" s="79"/>
      <c r="C150" s="79"/>
      <c r="D150" s="85"/>
      <c r="E150" s="85"/>
      <c r="F150" s="85"/>
      <c r="G150" s="86"/>
      <c r="H150" s="86"/>
      <c r="I150" s="86"/>
      <c r="J150" s="86"/>
      <c r="K150" s="86"/>
      <c r="L150" s="86"/>
    </row>
    <row r="151" spans="1:12" s="83" customFormat="1" ht="25.5" customHeight="1" x14ac:dyDescent="0.2">
      <c r="D151" s="86"/>
      <c r="E151" s="86"/>
      <c r="F151" s="86"/>
      <c r="G151" s="86"/>
      <c r="H151" s="86"/>
      <c r="I151" s="86"/>
      <c r="J151" s="86"/>
      <c r="K151" s="86"/>
      <c r="L151" s="86"/>
    </row>
    <row r="152" spans="1:12" s="83" customFormat="1" ht="25.5" customHeight="1" x14ac:dyDescent="0.2">
      <c r="D152" s="86"/>
      <c r="E152" s="86"/>
      <c r="F152" s="86"/>
      <c r="G152" s="86"/>
      <c r="H152" s="86"/>
      <c r="I152" s="86"/>
      <c r="J152" s="86"/>
      <c r="K152" s="86"/>
      <c r="L152" s="86"/>
    </row>
    <row r="153" spans="1:12" s="83" customFormat="1" ht="25.5" customHeight="1" x14ac:dyDescent="0.2">
      <c r="D153" s="86"/>
      <c r="E153" s="86"/>
      <c r="F153" s="86"/>
      <c r="G153" s="86"/>
      <c r="H153" s="86"/>
      <c r="I153" s="86"/>
      <c r="J153" s="86"/>
      <c r="K153" s="86"/>
      <c r="L153" s="86"/>
    </row>
    <row r="154" spans="1:12" s="83" customFormat="1" ht="25.5" customHeight="1" x14ac:dyDescent="0.2">
      <c r="D154" s="86"/>
      <c r="E154" s="86"/>
      <c r="F154" s="86"/>
      <c r="G154" s="86"/>
      <c r="H154" s="86"/>
      <c r="I154" s="86"/>
      <c r="J154" s="86"/>
      <c r="K154" s="86"/>
      <c r="L154" s="86"/>
    </row>
    <row r="155" spans="1:12" s="83" customFormat="1" ht="25.5" customHeight="1" x14ac:dyDescent="0.2">
      <c r="D155" s="86"/>
      <c r="E155" s="86"/>
      <c r="F155" s="86"/>
      <c r="G155" s="86"/>
      <c r="H155" s="86"/>
      <c r="I155" s="86"/>
      <c r="J155" s="86"/>
      <c r="K155" s="86"/>
      <c r="L155" s="86"/>
    </row>
    <row r="156" spans="1:12" s="83" customFormat="1" ht="25.5" customHeight="1" x14ac:dyDescent="0.2">
      <c r="D156" s="86"/>
      <c r="E156" s="86"/>
      <c r="F156" s="86"/>
      <c r="G156" s="86"/>
      <c r="H156" s="86"/>
      <c r="I156" s="86"/>
      <c r="J156" s="86"/>
      <c r="K156" s="86"/>
      <c r="L156" s="86"/>
    </row>
    <row r="157" spans="1:12" s="83" customFormat="1" ht="25.5" customHeight="1" x14ac:dyDescent="0.2">
      <c r="D157" s="86"/>
      <c r="E157" s="86"/>
      <c r="F157" s="86"/>
      <c r="G157" s="86"/>
      <c r="H157" s="86"/>
      <c r="I157" s="86"/>
      <c r="J157" s="86"/>
      <c r="K157" s="86"/>
      <c r="L157" s="86"/>
    </row>
    <row r="158" spans="1:12" s="83" customFormat="1" ht="25.5" customHeight="1" x14ac:dyDescent="0.2">
      <c r="D158" s="86"/>
      <c r="E158" s="86"/>
      <c r="F158" s="86"/>
      <c r="G158" s="86"/>
      <c r="H158" s="86"/>
      <c r="I158" s="86"/>
      <c r="J158" s="86"/>
      <c r="K158" s="86"/>
      <c r="L158" s="86"/>
    </row>
    <row r="159" spans="1:12" s="83" customFormat="1" ht="25.5" customHeight="1" x14ac:dyDescent="0.2">
      <c r="D159" s="86"/>
      <c r="E159" s="86"/>
      <c r="F159" s="86"/>
      <c r="G159" s="86"/>
      <c r="H159" s="86"/>
      <c r="I159" s="86"/>
      <c r="J159" s="86"/>
      <c r="K159" s="86"/>
      <c r="L159" s="86"/>
    </row>
    <row r="160" spans="1:12" s="83" customFormat="1" ht="25.5" customHeight="1" x14ac:dyDescent="0.2">
      <c r="D160" s="86"/>
      <c r="E160" s="86"/>
      <c r="F160" s="86"/>
      <c r="G160" s="86"/>
      <c r="H160" s="86"/>
      <c r="I160" s="86"/>
      <c r="J160" s="86"/>
      <c r="K160" s="86"/>
      <c r="L160" s="86"/>
    </row>
    <row r="161" spans="4:12" s="83" customFormat="1" ht="25.5" customHeight="1" x14ac:dyDescent="0.2">
      <c r="D161" s="86"/>
      <c r="E161" s="86"/>
      <c r="F161" s="86"/>
      <c r="G161" s="86"/>
      <c r="H161" s="86"/>
      <c r="I161" s="86"/>
      <c r="J161" s="86"/>
      <c r="K161" s="86"/>
      <c r="L161" s="86"/>
    </row>
    <row r="162" spans="4:12" s="83" customFormat="1" ht="25.5" customHeight="1" x14ac:dyDescent="0.2">
      <c r="D162" s="86"/>
      <c r="E162" s="86"/>
      <c r="F162" s="86"/>
      <c r="G162" s="86"/>
      <c r="H162" s="86"/>
      <c r="I162" s="86"/>
      <c r="J162" s="86"/>
      <c r="K162" s="86"/>
      <c r="L162" s="86"/>
    </row>
    <row r="163" spans="4:12" s="83" customFormat="1" ht="25.5" customHeight="1" x14ac:dyDescent="0.2">
      <c r="D163" s="86"/>
      <c r="E163" s="86"/>
      <c r="F163" s="86"/>
      <c r="G163" s="86"/>
      <c r="H163" s="86"/>
      <c r="I163" s="86"/>
      <c r="J163" s="86"/>
      <c r="K163" s="86"/>
      <c r="L163" s="86"/>
    </row>
    <row r="164" spans="4:12" s="83" customFormat="1" ht="25.5" customHeight="1" x14ac:dyDescent="0.2">
      <c r="D164" s="86"/>
      <c r="E164" s="86"/>
      <c r="F164" s="86"/>
      <c r="G164" s="86"/>
      <c r="H164" s="86"/>
      <c r="I164" s="86"/>
      <c r="J164" s="86"/>
      <c r="K164" s="86"/>
      <c r="L164" s="86"/>
    </row>
    <row r="165" spans="4:12" s="83" customFormat="1" ht="25.5" customHeight="1" x14ac:dyDescent="0.2">
      <c r="D165" s="86"/>
      <c r="E165" s="86"/>
      <c r="F165" s="86"/>
      <c r="G165" s="86"/>
      <c r="H165" s="86"/>
      <c r="I165" s="86"/>
      <c r="J165" s="86"/>
      <c r="K165" s="86"/>
      <c r="L165" s="86"/>
    </row>
    <row r="166" spans="4:12" s="83" customFormat="1" ht="25.5" customHeight="1" x14ac:dyDescent="0.2">
      <c r="D166" s="86"/>
      <c r="E166" s="86"/>
      <c r="F166" s="86"/>
      <c r="G166" s="86"/>
      <c r="H166" s="86"/>
      <c r="I166" s="86"/>
      <c r="J166" s="86"/>
      <c r="K166" s="86"/>
      <c r="L166" s="86"/>
    </row>
    <row r="167" spans="4:12" s="83" customFormat="1" ht="25.5" customHeight="1" x14ac:dyDescent="0.2">
      <c r="D167" s="86"/>
      <c r="E167" s="86"/>
      <c r="F167" s="86"/>
      <c r="G167" s="86"/>
      <c r="H167" s="86"/>
      <c r="I167" s="86"/>
      <c r="J167" s="86"/>
      <c r="K167" s="86"/>
      <c r="L167" s="86"/>
    </row>
    <row r="168" spans="4:12" s="83" customFormat="1" ht="25.5" customHeight="1" x14ac:dyDescent="0.2">
      <c r="D168" s="86"/>
      <c r="E168" s="86"/>
      <c r="F168" s="86"/>
      <c r="G168" s="86"/>
      <c r="H168" s="86"/>
      <c r="I168" s="86"/>
      <c r="J168" s="86"/>
      <c r="K168" s="86"/>
      <c r="L168" s="86"/>
    </row>
    <row r="169" spans="4:12" s="83" customFormat="1" ht="25.5" customHeight="1" x14ac:dyDescent="0.2">
      <c r="D169" s="86"/>
      <c r="E169" s="86"/>
      <c r="F169" s="86"/>
      <c r="G169" s="86"/>
      <c r="H169" s="86"/>
      <c r="I169" s="86"/>
      <c r="J169" s="86"/>
      <c r="K169" s="86"/>
      <c r="L169" s="86"/>
    </row>
    <row r="170" spans="4:12" s="83" customFormat="1" ht="25.5" customHeight="1" x14ac:dyDescent="0.2">
      <c r="D170" s="86"/>
      <c r="E170" s="86"/>
      <c r="F170" s="86"/>
      <c r="G170" s="86"/>
      <c r="H170" s="86"/>
      <c r="I170" s="86"/>
      <c r="J170" s="86"/>
      <c r="K170" s="86"/>
      <c r="L170" s="86"/>
    </row>
    <row r="171" spans="4:12" s="83" customFormat="1" ht="25.5" customHeight="1" x14ac:dyDescent="0.2">
      <c r="D171" s="86"/>
      <c r="E171" s="86"/>
      <c r="F171" s="86"/>
      <c r="G171" s="86"/>
      <c r="H171" s="86"/>
      <c r="I171" s="86"/>
      <c r="J171" s="86"/>
      <c r="K171" s="86"/>
      <c r="L171" s="86"/>
    </row>
    <row r="172" spans="4:12" s="83" customFormat="1" ht="25.5" customHeight="1" x14ac:dyDescent="0.2">
      <c r="D172" s="86"/>
      <c r="E172" s="86"/>
      <c r="F172" s="86"/>
      <c r="G172" s="86"/>
      <c r="H172" s="86"/>
      <c r="I172" s="86"/>
      <c r="J172" s="86"/>
      <c r="K172" s="86"/>
      <c r="L172" s="86"/>
    </row>
    <row r="173" spans="4:12" s="83" customFormat="1" ht="25.5" customHeight="1" x14ac:dyDescent="0.2">
      <c r="D173" s="86"/>
      <c r="E173" s="86"/>
      <c r="F173" s="86"/>
      <c r="G173" s="86"/>
      <c r="H173" s="86"/>
      <c r="I173" s="86"/>
      <c r="J173" s="86"/>
      <c r="K173" s="86"/>
      <c r="L173" s="86"/>
    </row>
    <row r="174" spans="4:12" s="83" customFormat="1" ht="25.5" customHeight="1" x14ac:dyDescent="0.2">
      <c r="D174" s="86"/>
      <c r="E174" s="86"/>
      <c r="F174" s="86"/>
      <c r="G174" s="86"/>
      <c r="H174" s="86"/>
      <c r="I174" s="86"/>
      <c r="J174" s="86"/>
      <c r="K174" s="86"/>
      <c r="L174" s="86"/>
    </row>
    <row r="175" spans="4:12" s="83" customFormat="1" ht="25.5" customHeight="1" x14ac:dyDescent="0.2">
      <c r="D175" s="86"/>
      <c r="E175" s="86"/>
      <c r="F175" s="86"/>
      <c r="G175" s="86"/>
      <c r="H175" s="86"/>
      <c r="I175" s="86"/>
      <c r="J175" s="86"/>
      <c r="K175" s="86"/>
      <c r="L175" s="86"/>
    </row>
    <row r="176" spans="4:12" s="83" customFormat="1" ht="25.5" customHeight="1" x14ac:dyDescent="0.2">
      <c r="D176" s="86"/>
      <c r="E176" s="86"/>
      <c r="F176" s="86"/>
      <c r="G176" s="86"/>
      <c r="H176" s="86"/>
      <c r="I176" s="86"/>
      <c r="J176" s="86"/>
      <c r="K176" s="86"/>
      <c r="L176" s="86"/>
    </row>
    <row r="177" spans="4:12" s="83" customFormat="1" ht="25.5" customHeight="1" x14ac:dyDescent="0.2">
      <c r="D177" s="86"/>
      <c r="E177" s="86"/>
      <c r="F177" s="86"/>
      <c r="G177" s="86"/>
      <c r="H177" s="86"/>
      <c r="I177" s="86"/>
      <c r="J177" s="86"/>
      <c r="K177" s="86"/>
      <c r="L177" s="86"/>
    </row>
    <row r="178" spans="4:12" s="83" customFormat="1" ht="25.5" customHeight="1" x14ac:dyDescent="0.2">
      <c r="D178" s="86"/>
      <c r="E178" s="86"/>
      <c r="F178" s="86"/>
      <c r="G178" s="86"/>
      <c r="H178" s="86"/>
      <c r="I178" s="86"/>
      <c r="J178" s="86"/>
      <c r="K178" s="86"/>
      <c r="L178" s="86"/>
    </row>
    <row r="179" spans="4:12" s="83" customFormat="1" ht="25.5" customHeight="1" x14ac:dyDescent="0.2">
      <c r="D179" s="86"/>
      <c r="E179" s="86"/>
      <c r="F179" s="86"/>
      <c r="G179" s="86"/>
      <c r="H179" s="86"/>
      <c r="I179" s="86"/>
      <c r="J179" s="86"/>
      <c r="K179" s="86"/>
      <c r="L179" s="86"/>
    </row>
    <row r="180" spans="4:12" s="83" customFormat="1" ht="25.5" customHeight="1" x14ac:dyDescent="0.2">
      <c r="D180" s="86"/>
      <c r="E180" s="86"/>
      <c r="F180" s="86"/>
      <c r="G180" s="86"/>
      <c r="H180" s="86"/>
      <c r="I180" s="86"/>
      <c r="J180" s="86"/>
      <c r="K180" s="86"/>
      <c r="L180" s="86"/>
    </row>
    <row r="181" spans="4:12" s="83" customFormat="1" ht="25.5" customHeight="1" x14ac:dyDescent="0.2">
      <c r="D181" s="86"/>
      <c r="E181" s="86"/>
      <c r="F181" s="86"/>
      <c r="G181" s="86"/>
      <c r="H181" s="86"/>
      <c r="I181" s="86"/>
      <c r="J181" s="86"/>
      <c r="K181" s="86"/>
      <c r="L181" s="86"/>
    </row>
    <row r="182" spans="4:12" s="83" customFormat="1" ht="25.5" customHeight="1" x14ac:dyDescent="0.2">
      <c r="D182" s="86"/>
      <c r="E182" s="86"/>
      <c r="F182" s="86"/>
      <c r="G182" s="86"/>
      <c r="H182" s="86"/>
      <c r="I182" s="86"/>
      <c r="J182" s="86"/>
      <c r="K182" s="86"/>
      <c r="L182" s="86"/>
    </row>
    <row r="183" spans="4:12" s="83" customFormat="1" ht="25.5" customHeight="1" x14ac:dyDescent="0.2">
      <c r="D183" s="86"/>
      <c r="E183" s="86"/>
      <c r="F183" s="86"/>
      <c r="G183" s="86"/>
      <c r="H183" s="86"/>
      <c r="I183" s="86"/>
      <c r="J183" s="86"/>
      <c r="K183" s="86"/>
      <c r="L183" s="86"/>
    </row>
    <row r="184" spans="4:12" s="83" customFormat="1" ht="25.5" customHeight="1" x14ac:dyDescent="0.2">
      <c r="D184" s="86"/>
      <c r="E184" s="86"/>
      <c r="F184" s="86"/>
      <c r="G184" s="86"/>
      <c r="H184" s="86"/>
      <c r="I184" s="86"/>
      <c r="J184" s="86"/>
      <c r="K184" s="86"/>
      <c r="L184" s="86"/>
    </row>
    <row r="185" spans="4:12" s="83" customFormat="1" x14ac:dyDescent="0.2">
      <c r="D185" s="86"/>
      <c r="E185" s="86"/>
      <c r="F185" s="86"/>
      <c r="G185" s="86"/>
      <c r="H185" s="86"/>
      <c r="I185" s="86"/>
      <c r="J185" s="86"/>
      <c r="K185" s="86"/>
      <c r="L185" s="86"/>
    </row>
    <row r="186" spans="4:12" s="83" customFormat="1" x14ac:dyDescent="0.2">
      <c r="D186" s="86"/>
      <c r="E186" s="86"/>
      <c r="F186" s="86"/>
      <c r="G186" s="86"/>
      <c r="H186" s="86"/>
      <c r="I186" s="86"/>
      <c r="J186" s="86"/>
      <c r="K186" s="86"/>
      <c r="L186" s="86"/>
    </row>
    <row r="187" spans="4:12" s="83" customFormat="1" x14ac:dyDescent="0.2">
      <c r="D187" s="86"/>
      <c r="E187" s="86"/>
      <c r="F187" s="86"/>
      <c r="G187" s="86"/>
      <c r="H187" s="86"/>
      <c r="I187" s="86"/>
      <c r="J187" s="86"/>
      <c r="K187" s="86"/>
      <c r="L187" s="86"/>
    </row>
    <row r="188" spans="4:12" s="83" customFormat="1" x14ac:dyDescent="0.2">
      <c r="D188" s="86"/>
      <c r="E188" s="86"/>
      <c r="F188" s="86"/>
      <c r="G188" s="86"/>
      <c r="H188" s="86"/>
      <c r="I188" s="86"/>
      <c r="J188" s="86"/>
      <c r="K188" s="86"/>
      <c r="L188" s="86"/>
    </row>
    <row r="189" spans="4:12" s="83" customFormat="1" x14ac:dyDescent="0.2">
      <c r="D189" s="86"/>
      <c r="E189" s="86"/>
      <c r="F189" s="86"/>
      <c r="G189" s="86"/>
      <c r="H189" s="86"/>
      <c r="I189" s="86"/>
      <c r="J189" s="86"/>
      <c r="K189" s="86"/>
      <c r="L189" s="86"/>
    </row>
    <row r="190" spans="4:12" s="83" customFormat="1" x14ac:dyDescent="0.2">
      <c r="D190" s="86"/>
      <c r="E190" s="86"/>
      <c r="F190" s="86"/>
      <c r="G190" s="86"/>
      <c r="H190" s="86"/>
      <c r="I190" s="86"/>
      <c r="J190" s="86"/>
      <c r="K190" s="86"/>
      <c r="L190" s="86"/>
    </row>
    <row r="191" spans="4:12" s="83" customFormat="1" x14ac:dyDescent="0.2">
      <c r="D191" s="86"/>
      <c r="E191" s="86"/>
      <c r="F191" s="86"/>
      <c r="G191" s="86"/>
      <c r="H191" s="86"/>
      <c r="I191" s="86"/>
      <c r="J191" s="86"/>
      <c r="K191" s="86"/>
      <c r="L191" s="86"/>
    </row>
    <row r="192" spans="4:12" s="83" customFormat="1" x14ac:dyDescent="0.2">
      <c r="D192" s="86"/>
      <c r="E192" s="86"/>
      <c r="F192" s="86"/>
      <c r="G192" s="86"/>
      <c r="H192" s="86"/>
      <c r="I192" s="86"/>
      <c r="J192" s="86"/>
      <c r="K192" s="86"/>
      <c r="L192" s="86"/>
    </row>
    <row r="193" spans="4:12" s="83" customFormat="1" x14ac:dyDescent="0.2">
      <c r="D193" s="86"/>
      <c r="E193" s="86"/>
      <c r="F193" s="86"/>
      <c r="G193" s="86"/>
      <c r="H193" s="86"/>
      <c r="I193" s="86"/>
      <c r="J193" s="86"/>
      <c r="K193" s="86"/>
      <c r="L193" s="86"/>
    </row>
    <row r="194" spans="4:12" s="83" customFormat="1" x14ac:dyDescent="0.2">
      <c r="D194" s="86"/>
      <c r="E194" s="86"/>
      <c r="F194" s="86"/>
      <c r="G194" s="86"/>
      <c r="H194" s="86"/>
      <c r="I194" s="86"/>
      <c r="J194" s="86"/>
      <c r="K194" s="86"/>
      <c r="L194" s="86"/>
    </row>
    <row r="195" spans="4:12" s="83" customFormat="1" x14ac:dyDescent="0.2">
      <c r="D195" s="86"/>
      <c r="E195" s="86"/>
      <c r="F195" s="86"/>
      <c r="G195" s="86"/>
      <c r="H195" s="86"/>
      <c r="I195" s="86"/>
      <c r="J195" s="86"/>
      <c r="K195" s="86"/>
      <c r="L195" s="86"/>
    </row>
    <row r="196" spans="4:12" s="83" customFormat="1" x14ac:dyDescent="0.2">
      <c r="D196" s="86"/>
      <c r="E196" s="86"/>
      <c r="F196" s="86"/>
      <c r="G196" s="86"/>
      <c r="H196" s="86"/>
      <c r="I196" s="86"/>
      <c r="J196" s="86"/>
      <c r="K196" s="86"/>
      <c r="L196" s="86"/>
    </row>
    <row r="197" spans="4:12" s="83" customFormat="1" x14ac:dyDescent="0.2">
      <c r="D197" s="86"/>
      <c r="E197" s="86"/>
      <c r="F197" s="86"/>
      <c r="G197" s="86"/>
      <c r="H197" s="86"/>
      <c r="I197" s="86"/>
      <c r="J197" s="86"/>
      <c r="K197" s="86"/>
      <c r="L197" s="86"/>
    </row>
    <row r="198" spans="4:12" s="83" customFormat="1" x14ac:dyDescent="0.2">
      <c r="D198" s="86"/>
      <c r="E198" s="86"/>
      <c r="F198" s="86"/>
      <c r="G198" s="86"/>
      <c r="H198" s="86"/>
      <c r="I198" s="86"/>
      <c r="J198" s="86"/>
      <c r="K198" s="86"/>
      <c r="L198" s="86"/>
    </row>
    <row r="199" spans="4:12" s="83" customFormat="1" x14ac:dyDescent="0.2">
      <c r="D199" s="86"/>
      <c r="E199" s="86"/>
      <c r="F199" s="86"/>
      <c r="G199" s="86"/>
      <c r="H199" s="86"/>
      <c r="I199" s="86"/>
      <c r="J199" s="86"/>
      <c r="K199" s="86"/>
      <c r="L199" s="86"/>
    </row>
    <row r="200" spans="4:12" s="83" customFormat="1" x14ac:dyDescent="0.2">
      <c r="D200" s="86"/>
      <c r="E200" s="86"/>
      <c r="F200" s="86"/>
      <c r="G200" s="86"/>
      <c r="H200" s="86"/>
      <c r="I200" s="86"/>
      <c r="J200" s="86"/>
      <c r="K200" s="86"/>
      <c r="L200" s="86"/>
    </row>
    <row r="201" spans="4:12" s="83" customFormat="1" x14ac:dyDescent="0.2">
      <c r="D201" s="86"/>
      <c r="E201" s="86"/>
      <c r="F201" s="86"/>
      <c r="G201" s="86"/>
      <c r="H201" s="86"/>
      <c r="I201" s="86"/>
      <c r="J201" s="86"/>
      <c r="K201" s="86"/>
      <c r="L201" s="86"/>
    </row>
    <row r="202" spans="4:12" s="83" customFormat="1" x14ac:dyDescent="0.2">
      <c r="D202" s="86"/>
      <c r="E202" s="86"/>
      <c r="F202" s="86"/>
      <c r="G202" s="86"/>
      <c r="H202" s="86"/>
      <c r="I202" s="86"/>
      <c r="J202" s="86"/>
      <c r="K202" s="86"/>
      <c r="L202" s="86"/>
    </row>
    <row r="203" spans="4:12" s="83" customFormat="1" x14ac:dyDescent="0.2">
      <c r="D203" s="86"/>
      <c r="E203" s="86"/>
      <c r="F203" s="86"/>
      <c r="G203" s="86"/>
      <c r="H203" s="86"/>
      <c r="I203" s="86"/>
      <c r="J203" s="86"/>
      <c r="K203" s="86"/>
      <c r="L203" s="86"/>
    </row>
    <row r="204" spans="4:12" s="83" customFormat="1" x14ac:dyDescent="0.2">
      <c r="D204" s="86"/>
      <c r="E204" s="86"/>
      <c r="F204" s="86"/>
      <c r="G204" s="86"/>
      <c r="H204" s="86"/>
      <c r="I204" s="86"/>
      <c r="J204" s="86"/>
      <c r="K204" s="86"/>
      <c r="L204" s="86"/>
    </row>
    <row r="205" spans="4:12" s="83" customFormat="1" x14ac:dyDescent="0.2">
      <c r="D205" s="86"/>
      <c r="E205" s="86"/>
      <c r="F205" s="86"/>
      <c r="G205" s="86"/>
      <c r="H205" s="86"/>
      <c r="I205" s="86"/>
      <c r="J205" s="86"/>
      <c r="K205" s="86"/>
      <c r="L205" s="86"/>
    </row>
    <row r="206" spans="4:12" s="83" customFormat="1" x14ac:dyDescent="0.2">
      <c r="D206" s="86"/>
      <c r="E206" s="86"/>
      <c r="F206" s="86"/>
      <c r="G206" s="86"/>
      <c r="H206" s="86"/>
      <c r="I206" s="86"/>
      <c r="J206" s="86"/>
      <c r="K206" s="86"/>
      <c r="L206" s="86"/>
    </row>
    <row r="207" spans="4:12" s="83" customFormat="1" x14ac:dyDescent="0.2">
      <c r="D207" s="86"/>
      <c r="E207" s="86"/>
      <c r="F207" s="86"/>
      <c r="G207" s="86"/>
      <c r="H207" s="86"/>
      <c r="I207" s="86"/>
      <c r="J207" s="86"/>
      <c r="K207" s="86"/>
      <c r="L207" s="86"/>
    </row>
    <row r="208" spans="4:12" s="83" customFormat="1" x14ac:dyDescent="0.2">
      <c r="D208" s="86"/>
      <c r="E208" s="86"/>
      <c r="F208" s="86"/>
      <c r="G208" s="86"/>
      <c r="H208" s="86"/>
      <c r="I208" s="86"/>
      <c r="J208" s="86"/>
      <c r="K208" s="86"/>
      <c r="L208" s="86"/>
    </row>
    <row r="209" spans="4:12" s="83" customFormat="1" x14ac:dyDescent="0.2">
      <c r="D209" s="86"/>
      <c r="E209" s="86"/>
      <c r="F209" s="86"/>
      <c r="G209" s="86"/>
      <c r="H209" s="86"/>
      <c r="I209" s="86"/>
      <c r="J209" s="86"/>
      <c r="K209" s="86"/>
      <c r="L209" s="86"/>
    </row>
    <row r="210" spans="4:12" s="83" customFormat="1" x14ac:dyDescent="0.2">
      <c r="D210" s="86"/>
      <c r="E210" s="86"/>
      <c r="F210" s="86"/>
      <c r="G210" s="86"/>
      <c r="H210" s="86"/>
      <c r="I210" s="86"/>
      <c r="J210" s="86"/>
      <c r="K210" s="86"/>
      <c r="L210" s="86"/>
    </row>
    <row r="211" spans="4:12" s="83" customFormat="1" x14ac:dyDescent="0.2">
      <c r="D211" s="86"/>
      <c r="E211" s="86"/>
      <c r="F211" s="86"/>
      <c r="G211" s="86"/>
      <c r="H211" s="86"/>
      <c r="I211" s="86"/>
      <c r="J211" s="86"/>
      <c r="K211" s="86"/>
      <c r="L211" s="86"/>
    </row>
    <row r="212" spans="4:12" s="83" customFormat="1" x14ac:dyDescent="0.2">
      <c r="D212" s="86"/>
      <c r="E212" s="86"/>
      <c r="F212" s="86"/>
      <c r="G212" s="86"/>
      <c r="H212" s="86"/>
      <c r="I212" s="86"/>
      <c r="J212" s="86"/>
      <c r="K212" s="86"/>
      <c r="L212" s="86"/>
    </row>
    <row r="213" spans="4:12" s="83" customFormat="1" x14ac:dyDescent="0.2">
      <c r="D213" s="86"/>
      <c r="E213" s="86"/>
      <c r="F213" s="86"/>
      <c r="G213" s="86"/>
      <c r="H213" s="86"/>
      <c r="I213" s="86"/>
      <c r="J213" s="86"/>
      <c r="K213" s="86"/>
      <c r="L213" s="86"/>
    </row>
    <row r="214" spans="4:12" s="83" customFormat="1" x14ac:dyDescent="0.2">
      <c r="D214" s="86"/>
      <c r="E214" s="86"/>
      <c r="F214" s="86"/>
      <c r="G214" s="86"/>
      <c r="H214" s="86"/>
      <c r="I214" s="86"/>
      <c r="J214" s="86"/>
      <c r="K214" s="86"/>
      <c r="L214" s="86"/>
    </row>
    <row r="215" spans="4:12" s="83" customFormat="1" x14ac:dyDescent="0.2">
      <c r="D215" s="86"/>
      <c r="E215" s="86"/>
      <c r="F215" s="86"/>
      <c r="G215" s="86"/>
      <c r="H215" s="86"/>
      <c r="I215" s="86"/>
      <c r="J215" s="86"/>
      <c r="K215" s="86"/>
      <c r="L215" s="86"/>
    </row>
    <row r="216" spans="4:12" s="83" customFormat="1" x14ac:dyDescent="0.2">
      <c r="D216" s="86"/>
      <c r="E216" s="86"/>
      <c r="F216" s="86"/>
      <c r="G216" s="86"/>
      <c r="H216" s="86"/>
      <c r="I216" s="86"/>
      <c r="J216" s="86"/>
      <c r="K216" s="86"/>
      <c r="L216" s="86"/>
    </row>
    <row r="217" spans="4:12" s="83" customFormat="1" x14ac:dyDescent="0.2">
      <c r="D217" s="86"/>
      <c r="E217" s="86"/>
      <c r="F217" s="86"/>
      <c r="G217" s="86"/>
      <c r="H217" s="86"/>
      <c r="I217" s="86"/>
      <c r="J217" s="86"/>
      <c r="K217" s="86"/>
      <c r="L217" s="86"/>
    </row>
    <row r="218" spans="4:12" s="83" customFormat="1" x14ac:dyDescent="0.2">
      <c r="D218" s="86"/>
      <c r="E218" s="86"/>
      <c r="F218" s="86"/>
      <c r="G218" s="86"/>
      <c r="H218" s="86"/>
      <c r="I218" s="86"/>
      <c r="J218" s="86"/>
      <c r="K218" s="86"/>
      <c r="L218" s="86"/>
    </row>
    <row r="219" spans="4:12" s="83" customFormat="1" x14ac:dyDescent="0.2">
      <c r="D219" s="86"/>
      <c r="E219" s="86"/>
      <c r="F219" s="86"/>
      <c r="G219" s="86"/>
      <c r="H219" s="86"/>
      <c r="I219" s="86"/>
      <c r="J219" s="86"/>
      <c r="K219" s="86"/>
      <c r="L219" s="86"/>
    </row>
    <row r="220" spans="4:12" s="83" customFormat="1" x14ac:dyDescent="0.2">
      <c r="D220" s="86"/>
      <c r="E220" s="86"/>
      <c r="F220" s="86"/>
      <c r="G220" s="86"/>
      <c r="H220" s="86"/>
      <c r="I220" s="86"/>
      <c r="J220" s="86"/>
      <c r="K220" s="86"/>
      <c r="L220" s="86"/>
    </row>
    <row r="221" spans="4:12" s="83" customFormat="1" x14ac:dyDescent="0.2">
      <c r="D221" s="86"/>
      <c r="E221" s="86"/>
      <c r="F221" s="86"/>
      <c r="G221" s="86"/>
      <c r="H221" s="86"/>
      <c r="I221" s="86"/>
      <c r="J221" s="86"/>
      <c r="K221" s="86"/>
      <c r="L221" s="86"/>
    </row>
    <row r="222" spans="4:12" s="83" customFormat="1" x14ac:dyDescent="0.2">
      <c r="D222" s="86"/>
      <c r="E222" s="86"/>
      <c r="F222" s="86"/>
      <c r="G222" s="86"/>
      <c r="H222" s="86"/>
      <c r="I222" s="86"/>
      <c r="J222" s="86"/>
      <c r="K222" s="86"/>
      <c r="L222" s="86"/>
    </row>
    <row r="223" spans="4:12" s="83" customFormat="1" x14ac:dyDescent="0.2">
      <c r="D223" s="86"/>
      <c r="E223" s="86"/>
      <c r="F223" s="86"/>
      <c r="G223" s="86"/>
      <c r="H223" s="86"/>
      <c r="I223" s="86"/>
      <c r="J223" s="86"/>
      <c r="K223" s="86"/>
      <c r="L223" s="86"/>
    </row>
    <row r="224" spans="4:12" s="83" customFormat="1" x14ac:dyDescent="0.2">
      <c r="D224" s="86"/>
      <c r="E224" s="86"/>
      <c r="F224" s="86"/>
      <c r="G224" s="86"/>
      <c r="H224" s="86"/>
      <c r="I224" s="86"/>
      <c r="J224" s="86"/>
      <c r="K224" s="86"/>
      <c r="L224" s="86"/>
    </row>
    <row r="225" spans="4:12" s="83" customFormat="1" x14ac:dyDescent="0.2">
      <c r="D225" s="86"/>
      <c r="E225" s="86"/>
      <c r="F225" s="86"/>
      <c r="G225" s="86"/>
      <c r="H225" s="86"/>
      <c r="I225" s="86"/>
      <c r="J225" s="86"/>
      <c r="K225" s="86"/>
      <c r="L225" s="86"/>
    </row>
    <row r="226" spans="4:12" s="83" customFormat="1" x14ac:dyDescent="0.2">
      <c r="D226" s="86"/>
      <c r="E226" s="86"/>
      <c r="F226" s="86"/>
      <c r="G226" s="86"/>
      <c r="H226" s="86"/>
      <c r="I226" s="86"/>
      <c r="J226" s="86"/>
      <c r="K226" s="86"/>
      <c r="L226" s="86"/>
    </row>
    <row r="227" spans="4:12" s="83" customFormat="1" x14ac:dyDescent="0.2">
      <c r="D227" s="86"/>
      <c r="E227" s="86"/>
      <c r="F227" s="86"/>
      <c r="G227" s="86"/>
      <c r="H227" s="86"/>
      <c r="I227" s="86"/>
      <c r="J227" s="86"/>
      <c r="K227" s="86"/>
      <c r="L227" s="86"/>
    </row>
    <row r="228" spans="4:12" s="83" customFormat="1" x14ac:dyDescent="0.2">
      <c r="D228" s="86"/>
      <c r="E228" s="86"/>
      <c r="F228" s="86"/>
      <c r="G228" s="86"/>
      <c r="H228" s="86"/>
      <c r="I228" s="86"/>
      <c r="J228" s="86"/>
      <c r="K228" s="86"/>
      <c r="L228" s="86"/>
    </row>
    <row r="229" spans="4:12" s="83" customFormat="1" x14ac:dyDescent="0.2">
      <c r="D229" s="86"/>
      <c r="E229" s="86"/>
      <c r="F229" s="86"/>
      <c r="G229" s="86"/>
      <c r="H229" s="86"/>
      <c r="I229" s="86"/>
      <c r="J229" s="86"/>
      <c r="K229" s="86"/>
      <c r="L229" s="86"/>
    </row>
    <row r="230" spans="4:12" s="83" customFormat="1" x14ac:dyDescent="0.2">
      <c r="D230" s="86"/>
      <c r="E230" s="86"/>
      <c r="F230" s="86"/>
      <c r="G230" s="86"/>
      <c r="H230" s="86"/>
      <c r="I230" s="86"/>
      <c r="J230" s="86"/>
      <c r="K230" s="86"/>
      <c r="L230" s="86"/>
    </row>
    <row r="231" spans="4:12" s="83" customFormat="1" x14ac:dyDescent="0.2">
      <c r="D231" s="86"/>
      <c r="E231" s="86"/>
      <c r="F231" s="86"/>
      <c r="G231" s="86"/>
      <c r="H231" s="86"/>
      <c r="I231" s="86"/>
      <c r="J231" s="86"/>
      <c r="K231" s="86"/>
      <c r="L231" s="86"/>
    </row>
    <row r="232" spans="4:12" s="83" customFormat="1" x14ac:dyDescent="0.2">
      <c r="D232" s="86"/>
      <c r="E232" s="86"/>
      <c r="F232" s="86"/>
      <c r="G232" s="86"/>
      <c r="H232" s="86"/>
      <c r="I232" s="86"/>
      <c r="J232" s="86"/>
      <c r="K232" s="86"/>
      <c r="L232" s="86"/>
    </row>
    <row r="233" spans="4:12" s="83" customFormat="1" x14ac:dyDescent="0.2">
      <c r="D233" s="86"/>
      <c r="E233" s="86"/>
      <c r="F233" s="86"/>
      <c r="G233" s="86"/>
      <c r="H233" s="86"/>
      <c r="I233" s="86"/>
      <c r="J233" s="86"/>
      <c r="K233" s="86"/>
      <c r="L233" s="86"/>
    </row>
    <row r="234" spans="4:12" s="83" customFormat="1" x14ac:dyDescent="0.2">
      <c r="D234" s="86"/>
      <c r="E234" s="86"/>
      <c r="F234" s="86"/>
      <c r="G234" s="86"/>
      <c r="H234" s="86"/>
      <c r="I234" s="86"/>
      <c r="J234" s="86"/>
      <c r="K234" s="86"/>
      <c r="L234" s="86"/>
    </row>
    <row r="235" spans="4:12" s="83" customFormat="1" x14ac:dyDescent="0.2">
      <c r="D235" s="86"/>
      <c r="E235" s="86"/>
      <c r="F235" s="86"/>
      <c r="G235" s="86"/>
      <c r="H235" s="86"/>
      <c r="I235" s="86"/>
      <c r="J235" s="86"/>
      <c r="K235" s="86"/>
      <c r="L235" s="86"/>
    </row>
    <row r="236" spans="4:12" s="83" customFormat="1" x14ac:dyDescent="0.2">
      <c r="D236" s="86"/>
      <c r="E236" s="86"/>
      <c r="F236" s="86"/>
      <c r="G236" s="86"/>
      <c r="H236" s="86"/>
      <c r="I236" s="86"/>
      <c r="J236" s="86"/>
      <c r="K236" s="86"/>
      <c r="L236" s="86"/>
    </row>
    <row r="237" spans="4:12" s="83" customFormat="1" x14ac:dyDescent="0.2">
      <c r="D237" s="86"/>
      <c r="E237" s="86"/>
      <c r="F237" s="86"/>
      <c r="G237" s="86"/>
      <c r="H237" s="86"/>
      <c r="I237" s="86"/>
      <c r="J237" s="86"/>
      <c r="K237" s="86"/>
      <c r="L237" s="86"/>
    </row>
    <row r="238" spans="4:12" s="83" customFormat="1" x14ac:dyDescent="0.2">
      <c r="D238" s="86"/>
      <c r="E238" s="86"/>
      <c r="F238" s="86"/>
      <c r="G238" s="86"/>
      <c r="H238" s="86"/>
      <c r="I238" s="86"/>
      <c r="J238" s="86"/>
      <c r="K238" s="86"/>
      <c r="L238" s="86"/>
    </row>
    <row r="239" spans="4:12" s="83" customFormat="1" x14ac:dyDescent="0.2">
      <c r="D239" s="86"/>
      <c r="E239" s="86"/>
      <c r="F239" s="86"/>
      <c r="G239" s="86"/>
      <c r="H239" s="86"/>
      <c r="I239" s="86"/>
      <c r="J239" s="86"/>
      <c r="K239" s="86"/>
      <c r="L239" s="86"/>
    </row>
    <row r="240" spans="4:12" s="83" customFormat="1" x14ac:dyDescent="0.2">
      <c r="D240" s="86"/>
      <c r="E240" s="86"/>
      <c r="F240" s="86"/>
      <c r="G240" s="86"/>
      <c r="H240" s="86"/>
      <c r="I240" s="86"/>
      <c r="J240" s="86"/>
      <c r="K240" s="86"/>
      <c r="L240" s="86"/>
    </row>
    <row r="241" spans="4:12" s="83" customFormat="1" x14ac:dyDescent="0.2">
      <c r="D241" s="86"/>
      <c r="E241" s="86"/>
      <c r="F241" s="86"/>
      <c r="G241" s="86"/>
      <c r="H241" s="86"/>
      <c r="I241" s="86"/>
      <c r="J241" s="86"/>
      <c r="K241" s="86"/>
      <c r="L241" s="86"/>
    </row>
    <row r="242" spans="4:12" s="83" customFormat="1" x14ac:dyDescent="0.2">
      <c r="D242" s="86"/>
      <c r="E242" s="86"/>
      <c r="F242" s="86"/>
      <c r="G242" s="86"/>
      <c r="H242" s="86"/>
      <c r="I242" s="86"/>
      <c r="J242" s="86"/>
      <c r="K242" s="86"/>
      <c r="L242" s="86"/>
    </row>
    <row r="243" spans="4:12" s="83" customFormat="1" x14ac:dyDescent="0.2">
      <c r="D243" s="86"/>
      <c r="E243" s="86"/>
      <c r="F243" s="86"/>
      <c r="G243" s="86"/>
      <c r="H243" s="86"/>
      <c r="I243" s="86"/>
      <c r="J243" s="86"/>
      <c r="K243" s="86"/>
      <c r="L243" s="86"/>
    </row>
    <row r="244" spans="4:12" s="83" customFormat="1" x14ac:dyDescent="0.2">
      <c r="D244" s="86"/>
      <c r="E244" s="86"/>
      <c r="F244" s="86"/>
      <c r="G244" s="86"/>
      <c r="H244" s="86"/>
      <c r="I244" s="86"/>
      <c r="J244" s="86"/>
      <c r="K244" s="86"/>
      <c r="L244" s="86"/>
    </row>
    <row r="245" spans="4:12" s="83" customFormat="1" x14ac:dyDescent="0.2">
      <c r="D245" s="86"/>
      <c r="E245" s="86"/>
      <c r="F245" s="86"/>
      <c r="G245" s="86"/>
      <c r="H245" s="86"/>
      <c r="I245" s="86"/>
      <c r="J245" s="86"/>
      <c r="K245" s="86"/>
      <c r="L245" s="86"/>
    </row>
    <row r="246" spans="4:12" s="83" customFormat="1" x14ac:dyDescent="0.2">
      <c r="D246" s="86"/>
      <c r="E246" s="86"/>
      <c r="F246" s="86"/>
      <c r="G246" s="86"/>
      <c r="H246" s="86"/>
      <c r="I246" s="86"/>
      <c r="J246" s="86"/>
      <c r="K246" s="86"/>
      <c r="L246" s="86"/>
    </row>
    <row r="247" spans="4:12" s="83" customFormat="1" x14ac:dyDescent="0.2">
      <c r="D247" s="86"/>
      <c r="E247" s="86"/>
      <c r="F247" s="86"/>
      <c r="G247" s="86"/>
      <c r="H247" s="86"/>
      <c r="I247" s="86"/>
      <c r="J247" s="86"/>
      <c r="K247" s="86"/>
      <c r="L247" s="86"/>
    </row>
    <row r="248" spans="4:12" s="83" customFormat="1" x14ac:dyDescent="0.2">
      <c r="D248" s="86"/>
      <c r="E248" s="86"/>
      <c r="F248" s="86"/>
      <c r="G248" s="86"/>
      <c r="H248" s="86"/>
      <c r="I248" s="86"/>
      <c r="J248" s="86"/>
      <c r="K248" s="86"/>
      <c r="L248" s="86"/>
    </row>
    <row r="249" spans="4:12" s="83" customFormat="1" x14ac:dyDescent="0.2">
      <c r="D249" s="86"/>
      <c r="E249" s="86"/>
      <c r="F249" s="86"/>
      <c r="G249" s="86"/>
      <c r="H249" s="86"/>
      <c r="I249" s="86"/>
      <c r="J249" s="86"/>
      <c r="K249" s="86"/>
      <c r="L249" s="86"/>
    </row>
    <row r="250" spans="4:12" s="83" customFormat="1" x14ac:dyDescent="0.2">
      <c r="D250" s="86"/>
      <c r="E250" s="86"/>
      <c r="F250" s="86"/>
      <c r="G250" s="86"/>
      <c r="H250" s="86"/>
      <c r="I250" s="86"/>
      <c r="J250" s="86"/>
      <c r="K250" s="86"/>
      <c r="L250" s="86"/>
    </row>
    <row r="251" spans="4:12" s="83" customFormat="1" x14ac:dyDescent="0.2">
      <c r="D251" s="86"/>
      <c r="E251" s="86"/>
      <c r="F251" s="86"/>
      <c r="G251" s="86"/>
      <c r="H251" s="86"/>
      <c r="I251" s="86"/>
      <c r="J251" s="86"/>
      <c r="K251" s="86"/>
      <c r="L251" s="86"/>
    </row>
    <row r="252" spans="4:12" s="83" customFormat="1" x14ac:dyDescent="0.2">
      <c r="D252" s="86"/>
      <c r="E252" s="86"/>
      <c r="F252" s="86"/>
      <c r="G252" s="86"/>
      <c r="H252" s="86"/>
      <c r="I252" s="86"/>
      <c r="J252" s="86"/>
      <c r="K252" s="86"/>
      <c r="L252" s="86"/>
    </row>
    <row r="253" spans="4:12" s="83" customFormat="1" x14ac:dyDescent="0.2">
      <c r="D253" s="86"/>
      <c r="E253" s="86"/>
      <c r="F253" s="86"/>
      <c r="G253" s="86"/>
      <c r="H253" s="86"/>
      <c r="I253" s="86"/>
      <c r="J253" s="86"/>
      <c r="K253" s="86"/>
      <c r="L253" s="86"/>
    </row>
    <row r="254" spans="4:12" s="83" customFormat="1" x14ac:dyDescent="0.2">
      <c r="D254" s="86"/>
      <c r="E254" s="86"/>
      <c r="F254" s="86"/>
      <c r="G254" s="86"/>
      <c r="H254" s="86"/>
      <c r="I254" s="86"/>
      <c r="J254" s="86"/>
      <c r="K254" s="86"/>
      <c r="L254" s="86"/>
    </row>
    <row r="255" spans="4:12" s="83" customFormat="1" x14ac:dyDescent="0.2">
      <c r="D255" s="86"/>
      <c r="E255" s="86"/>
      <c r="F255" s="86"/>
      <c r="G255" s="86"/>
      <c r="H255" s="86"/>
      <c r="I255" s="86"/>
      <c r="J255" s="86"/>
      <c r="K255" s="86"/>
      <c r="L255" s="86"/>
    </row>
    <row r="256" spans="4:12" s="83" customFormat="1" x14ac:dyDescent="0.2">
      <c r="D256" s="86"/>
      <c r="E256" s="86"/>
      <c r="F256" s="86"/>
      <c r="G256" s="86"/>
      <c r="H256" s="86"/>
      <c r="I256" s="86"/>
      <c r="J256" s="86"/>
      <c r="K256" s="86"/>
      <c r="L256" s="86"/>
    </row>
    <row r="257" spans="4:12" s="83" customFormat="1" x14ac:dyDescent="0.2">
      <c r="D257" s="86"/>
      <c r="E257" s="86"/>
      <c r="F257" s="86"/>
      <c r="G257" s="86"/>
      <c r="H257" s="86"/>
      <c r="I257" s="86"/>
      <c r="J257" s="86"/>
      <c r="K257" s="86"/>
      <c r="L257" s="86"/>
    </row>
    <row r="258" spans="4:12" s="83" customFormat="1" x14ac:dyDescent="0.2">
      <c r="D258" s="86"/>
      <c r="E258" s="86"/>
      <c r="F258" s="86"/>
      <c r="G258" s="86"/>
      <c r="H258" s="86"/>
      <c r="I258" s="86"/>
      <c r="J258" s="86"/>
      <c r="K258" s="86"/>
      <c r="L258" s="86"/>
    </row>
    <row r="259" spans="4:12" s="83" customFormat="1" x14ac:dyDescent="0.2">
      <c r="D259" s="86"/>
      <c r="E259" s="86"/>
      <c r="F259" s="86"/>
      <c r="G259" s="86"/>
      <c r="H259" s="86"/>
      <c r="I259" s="86"/>
      <c r="J259" s="86"/>
      <c r="K259" s="86"/>
      <c r="L259" s="86"/>
    </row>
    <row r="260" spans="4:12" s="83" customFormat="1" x14ac:dyDescent="0.2">
      <c r="D260" s="86"/>
      <c r="E260" s="86"/>
      <c r="F260" s="86"/>
      <c r="G260" s="86"/>
      <c r="H260" s="86"/>
      <c r="I260" s="86"/>
      <c r="J260" s="86"/>
      <c r="K260" s="86"/>
      <c r="L260" s="86"/>
    </row>
    <row r="261" spans="4:12" s="83" customFormat="1" x14ac:dyDescent="0.2">
      <c r="D261" s="86"/>
      <c r="E261" s="86"/>
      <c r="F261" s="86"/>
      <c r="G261" s="86"/>
      <c r="H261" s="86"/>
      <c r="I261" s="86"/>
      <c r="J261" s="86"/>
      <c r="K261" s="86"/>
      <c r="L261" s="86"/>
    </row>
    <row r="262" spans="4:12" s="83" customFormat="1" x14ac:dyDescent="0.2">
      <c r="D262" s="86"/>
      <c r="E262" s="86"/>
      <c r="F262" s="86"/>
      <c r="G262" s="86"/>
      <c r="H262" s="86"/>
      <c r="I262" s="86"/>
      <c r="J262" s="86"/>
      <c r="K262" s="86"/>
      <c r="L262" s="86"/>
    </row>
    <row r="263" spans="4:12" s="83" customFormat="1" x14ac:dyDescent="0.2">
      <c r="D263" s="86"/>
      <c r="E263" s="86"/>
      <c r="F263" s="86"/>
      <c r="G263" s="86"/>
      <c r="H263" s="86"/>
      <c r="I263" s="86"/>
      <c r="J263" s="86"/>
      <c r="K263" s="86"/>
      <c r="L263" s="86"/>
    </row>
    <row r="264" spans="4:12" s="83" customFormat="1" x14ac:dyDescent="0.2">
      <c r="D264" s="86"/>
      <c r="E264" s="86"/>
      <c r="F264" s="86"/>
      <c r="G264" s="86"/>
      <c r="H264" s="86"/>
      <c r="I264" s="86"/>
      <c r="J264" s="86"/>
      <c r="K264" s="86"/>
      <c r="L264" s="86"/>
    </row>
    <row r="265" spans="4:12" s="83" customFormat="1" x14ac:dyDescent="0.2">
      <c r="D265" s="86"/>
      <c r="E265" s="86"/>
      <c r="F265" s="86"/>
      <c r="G265" s="86"/>
      <c r="H265" s="86"/>
      <c r="I265" s="86"/>
      <c r="J265" s="86"/>
      <c r="K265" s="86"/>
      <c r="L265" s="86"/>
    </row>
    <row r="266" spans="4:12" s="83" customFormat="1" x14ac:dyDescent="0.2">
      <c r="D266" s="86"/>
      <c r="E266" s="86"/>
      <c r="F266" s="86"/>
      <c r="G266" s="86"/>
      <c r="H266" s="86"/>
      <c r="I266" s="86"/>
      <c r="J266" s="86"/>
      <c r="K266" s="86"/>
      <c r="L266" s="86"/>
    </row>
    <row r="267" spans="4:12" s="83" customFormat="1" x14ac:dyDescent="0.2">
      <c r="D267" s="86"/>
      <c r="E267" s="86"/>
      <c r="F267" s="86"/>
      <c r="G267" s="86"/>
      <c r="H267" s="86"/>
      <c r="I267" s="86"/>
      <c r="J267" s="86"/>
      <c r="K267" s="86"/>
      <c r="L267" s="86"/>
    </row>
    <row r="268" spans="4:12" s="83" customFormat="1" x14ac:dyDescent="0.2">
      <c r="D268" s="86"/>
      <c r="E268" s="86"/>
      <c r="F268" s="86"/>
      <c r="G268" s="86"/>
      <c r="H268" s="86"/>
      <c r="I268" s="86"/>
      <c r="J268" s="86"/>
      <c r="K268" s="86"/>
      <c r="L268" s="86"/>
    </row>
    <row r="269" spans="4:12" s="83" customFormat="1" x14ac:dyDescent="0.2">
      <c r="D269" s="86"/>
      <c r="E269" s="86"/>
      <c r="F269" s="86"/>
      <c r="G269" s="86"/>
      <c r="H269" s="86"/>
      <c r="I269" s="86"/>
      <c r="J269" s="86"/>
      <c r="K269" s="86"/>
      <c r="L269" s="86"/>
    </row>
    <row r="270" spans="4:12" s="83" customFormat="1" x14ac:dyDescent="0.2">
      <c r="D270" s="86"/>
      <c r="E270" s="86"/>
      <c r="F270" s="86"/>
      <c r="G270" s="86"/>
      <c r="H270" s="86"/>
      <c r="I270" s="86"/>
      <c r="J270" s="86"/>
      <c r="K270" s="86"/>
      <c r="L270" s="86"/>
    </row>
    <row r="271" spans="4:12" s="83" customFormat="1" x14ac:dyDescent="0.2">
      <c r="D271" s="86"/>
      <c r="E271" s="86"/>
      <c r="F271" s="86"/>
      <c r="G271" s="86"/>
      <c r="H271" s="86"/>
      <c r="I271" s="86"/>
      <c r="J271" s="86"/>
      <c r="K271" s="86"/>
      <c r="L271" s="86"/>
    </row>
    <row r="272" spans="4:12" s="83" customFormat="1" x14ac:dyDescent="0.2">
      <c r="D272" s="86"/>
      <c r="E272" s="86"/>
      <c r="F272" s="86"/>
      <c r="G272" s="86"/>
      <c r="H272" s="86"/>
      <c r="I272" s="86"/>
      <c r="J272" s="86"/>
      <c r="K272" s="86"/>
      <c r="L272" s="86"/>
    </row>
    <row r="273" spans="4:12" s="83" customFormat="1" x14ac:dyDescent="0.2">
      <c r="D273" s="86"/>
      <c r="E273" s="86"/>
      <c r="F273" s="86"/>
      <c r="G273" s="86"/>
      <c r="H273" s="86"/>
      <c r="I273" s="86"/>
      <c r="J273" s="86"/>
      <c r="K273" s="86"/>
      <c r="L273" s="86"/>
    </row>
    <row r="274" spans="4:12" s="83" customFormat="1" x14ac:dyDescent="0.2">
      <c r="D274" s="86"/>
      <c r="E274" s="86"/>
      <c r="F274" s="86"/>
      <c r="G274" s="86"/>
      <c r="H274" s="86"/>
      <c r="I274" s="86"/>
      <c r="J274" s="86"/>
      <c r="K274" s="86"/>
      <c r="L274" s="86"/>
    </row>
    <row r="275" spans="4:12" s="83" customFormat="1" x14ac:dyDescent="0.2">
      <c r="D275" s="86"/>
      <c r="E275" s="86"/>
      <c r="F275" s="86"/>
      <c r="G275" s="86"/>
      <c r="H275" s="86"/>
      <c r="I275" s="86"/>
      <c r="J275" s="86"/>
      <c r="K275" s="86"/>
      <c r="L275" s="86"/>
    </row>
    <row r="276" spans="4:12" s="83" customFormat="1" x14ac:dyDescent="0.2">
      <c r="D276" s="86"/>
      <c r="E276" s="86"/>
      <c r="F276" s="86"/>
      <c r="G276" s="86"/>
      <c r="H276" s="86"/>
      <c r="I276" s="86"/>
      <c r="J276" s="86"/>
      <c r="K276" s="86"/>
      <c r="L276" s="86"/>
    </row>
    <row r="277" spans="4:12" s="83" customFormat="1" x14ac:dyDescent="0.2">
      <c r="D277" s="86"/>
      <c r="E277" s="86"/>
      <c r="F277" s="86"/>
      <c r="G277" s="86"/>
      <c r="H277" s="86"/>
      <c r="I277" s="86"/>
      <c r="J277" s="86"/>
      <c r="K277" s="86"/>
      <c r="L277" s="86"/>
    </row>
    <row r="278" spans="4:12" s="83" customFormat="1" x14ac:dyDescent="0.2">
      <c r="D278" s="86"/>
      <c r="E278" s="86"/>
      <c r="F278" s="86"/>
      <c r="G278" s="86"/>
      <c r="H278" s="86"/>
      <c r="I278" s="86"/>
      <c r="J278" s="86"/>
      <c r="K278" s="86"/>
      <c r="L278" s="86"/>
    </row>
    <row r="279" spans="4:12" s="83" customFormat="1" x14ac:dyDescent="0.2">
      <c r="D279" s="86"/>
      <c r="E279" s="86"/>
      <c r="F279" s="86"/>
      <c r="G279" s="86"/>
      <c r="H279" s="86"/>
      <c r="I279" s="86"/>
      <c r="J279" s="86"/>
      <c r="K279" s="86"/>
      <c r="L279" s="86"/>
    </row>
    <row r="280" spans="4:12" s="83" customFormat="1" x14ac:dyDescent="0.2">
      <c r="D280" s="86"/>
      <c r="E280" s="86"/>
      <c r="F280" s="86"/>
      <c r="G280" s="86"/>
      <c r="H280" s="86"/>
      <c r="I280" s="86"/>
      <c r="J280" s="86"/>
      <c r="K280" s="86"/>
      <c r="L280" s="86"/>
    </row>
    <row r="281" spans="4:12" s="83" customFormat="1" x14ac:dyDescent="0.2">
      <c r="D281" s="86"/>
      <c r="E281" s="86"/>
      <c r="F281" s="86"/>
      <c r="G281" s="86"/>
      <c r="H281" s="86"/>
      <c r="I281" s="86"/>
      <c r="J281" s="86"/>
      <c r="K281" s="86"/>
      <c r="L281" s="86"/>
    </row>
    <row r="282" spans="4:12" s="83" customFormat="1" x14ac:dyDescent="0.2">
      <c r="D282" s="86"/>
      <c r="E282" s="86"/>
      <c r="F282" s="86"/>
      <c r="G282" s="86"/>
      <c r="H282" s="86"/>
      <c r="I282" s="86"/>
      <c r="J282" s="86"/>
      <c r="K282" s="86"/>
      <c r="L282" s="86"/>
    </row>
    <row r="283" spans="4:12" s="83" customFormat="1" x14ac:dyDescent="0.2">
      <c r="D283" s="86"/>
      <c r="E283" s="86"/>
      <c r="F283" s="86"/>
      <c r="G283" s="86"/>
      <c r="H283" s="86"/>
      <c r="I283" s="86"/>
      <c r="J283" s="86"/>
      <c r="K283" s="86"/>
      <c r="L283" s="86"/>
    </row>
    <row r="284" spans="4:12" s="83" customFormat="1" x14ac:dyDescent="0.2">
      <c r="D284" s="86"/>
      <c r="E284" s="86"/>
      <c r="F284" s="86"/>
      <c r="G284" s="86"/>
      <c r="H284" s="86"/>
      <c r="I284" s="86"/>
      <c r="J284" s="86"/>
      <c r="K284" s="86"/>
      <c r="L284" s="86"/>
    </row>
    <row r="285" spans="4:12" s="83" customFormat="1" x14ac:dyDescent="0.2">
      <c r="D285" s="86"/>
      <c r="E285" s="86"/>
      <c r="F285" s="86"/>
      <c r="G285" s="86"/>
      <c r="H285" s="86"/>
      <c r="I285" s="86"/>
      <c r="J285" s="86"/>
      <c r="K285" s="86"/>
      <c r="L285" s="86"/>
    </row>
    <row r="286" spans="4:12" s="83" customFormat="1" x14ac:dyDescent="0.2">
      <c r="D286" s="86"/>
      <c r="E286" s="86"/>
      <c r="F286" s="86"/>
      <c r="G286" s="86"/>
      <c r="H286" s="86"/>
      <c r="I286" s="86"/>
      <c r="J286" s="86"/>
      <c r="K286" s="86"/>
      <c r="L286" s="86"/>
    </row>
    <row r="287" spans="4:12" s="83" customFormat="1" x14ac:dyDescent="0.2">
      <c r="D287" s="86"/>
      <c r="E287" s="86"/>
      <c r="F287" s="86"/>
      <c r="G287" s="86"/>
      <c r="H287" s="86"/>
      <c r="I287" s="86"/>
      <c r="J287" s="86"/>
      <c r="K287" s="86"/>
      <c r="L287" s="86"/>
    </row>
    <row r="288" spans="4:12" s="83" customFormat="1" x14ac:dyDescent="0.2">
      <c r="D288" s="86"/>
      <c r="E288" s="86"/>
      <c r="F288" s="86"/>
      <c r="G288" s="86"/>
      <c r="H288" s="86"/>
      <c r="I288" s="86"/>
      <c r="J288" s="86"/>
      <c r="K288" s="86"/>
      <c r="L288" s="86"/>
    </row>
    <row r="289" spans="4:12" s="83" customFormat="1" x14ac:dyDescent="0.2">
      <c r="D289" s="86"/>
      <c r="E289" s="86"/>
      <c r="F289" s="86"/>
      <c r="G289" s="86"/>
      <c r="H289" s="86"/>
      <c r="I289" s="86"/>
      <c r="J289" s="86"/>
      <c r="K289" s="86"/>
      <c r="L289" s="86"/>
    </row>
    <row r="290" spans="4:12" s="83" customFormat="1" x14ac:dyDescent="0.2">
      <c r="D290" s="86"/>
      <c r="E290" s="86"/>
      <c r="F290" s="86"/>
      <c r="G290" s="86"/>
      <c r="H290" s="86"/>
      <c r="I290" s="86"/>
      <c r="J290" s="86"/>
      <c r="K290" s="86"/>
      <c r="L290" s="86"/>
    </row>
    <row r="291" spans="4:12" s="83" customFormat="1" x14ac:dyDescent="0.2">
      <c r="D291" s="86"/>
      <c r="E291" s="86"/>
      <c r="F291" s="86"/>
      <c r="G291" s="86"/>
      <c r="H291" s="86"/>
      <c r="I291" s="86"/>
      <c r="J291" s="86"/>
      <c r="K291" s="86"/>
      <c r="L291" s="86"/>
    </row>
    <row r="292" spans="4:12" s="83" customFormat="1" x14ac:dyDescent="0.2">
      <c r="D292" s="86"/>
      <c r="E292" s="86"/>
      <c r="F292" s="86"/>
      <c r="G292" s="86"/>
      <c r="H292" s="86"/>
      <c r="I292" s="86"/>
      <c r="J292" s="86"/>
      <c r="K292" s="86"/>
      <c r="L292" s="86"/>
    </row>
    <row r="293" spans="4:12" s="83" customFormat="1" x14ac:dyDescent="0.2">
      <c r="D293" s="86"/>
      <c r="E293" s="86"/>
      <c r="F293" s="86"/>
      <c r="G293" s="86"/>
      <c r="H293" s="86"/>
      <c r="I293" s="86"/>
      <c r="J293" s="86"/>
      <c r="K293" s="86"/>
      <c r="L293" s="86"/>
    </row>
    <row r="294" spans="4:12" s="83" customFormat="1" x14ac:dyDescent="0.2">
      <c r="D294" s="86"/>
      <c r="E294" s="86"/>
      <c r="F294" s="86"/>
      <c r="G294" s="86"/>
      <c r="H294" s="86"/>
      <c r="I294" s="86"/>
      <c r="J294" s="86"/>
      <c r="K294" s="86"/>
      <c r="L294" s="86"/>
    </row>
    <row r="295" spans="4:12" s="83" customFormat="1" x14ac:dyDescent="0.2">
      <c r="D295" s="86"/>
      <c r="E295" s="86"/>
      <c r="F295" s="86"/>
      <c r="G295" s="86"/>
      <c r="H295" s="86"/>
      <c r="I295" s="86"/>
      <c r="J295" s="86"/>
      <c r="K295" s="86"/>
      <c r="L295" s="86"/>
    </row>
    <row r="296" spans="4:12" s="83" customFormat="1" x14ac:dyDescent="0.2">
      <c r="D296" s="86"/>
      <c r="E296" s="86"/>
      <c r="F296" s="86"/>
      <c r="G296" s="86"/>
      <c r="H296" s="86"/>
      <c r="I296" s="86"/>
      <c r="J296" s="86"/>
      <c r="K296" s="86"/>
      <c r="L296" s="86"/>
    </row>
    <row r="297" spans="4:12" s="83" customFormat="1" x14ac:dyDescent="0.2">
      <c r="D297" s="86"/>
      <c r="E297" s="86"/>
      <c r="F297" s="86"/>
      <c r="G297" s="86"/>
      <c r="H297" s="86"/>
      <c r="I297" s="86"/>
      <c r="J297" s="86"/>
      <c r="K297" s="86"/>
      <c r="L297" s="86"/>
    </row>
    <row r="298" spans="4:12" s="83" customFormat="1" x14ac:dyDescent="0.2">
      <c r="D298" s="86"/>
      <c r="E298" s="86"/>
      <c r="F298" s="86"/>
      <c r="G298" s="86"/>
      <c r="H298" s="86"/>
      <c r="I298" s="86"/>
      <c r="J298" s="86"/>
      <c r="K298" s="86"/>
      <c r="L298" s="86"/>
    </row>
    <row r="299" spans="4:12" s="83" customFormat="1" x14ac:dyDescent="0.2">
      <c r="D299" s="86"/>
      <c r="E299" s="86"/>
      <c r="F299" s="86"/>
      <c r="G299" s="86"/>
      <c r="H299" s="86"/>
      <c r="I299" s="86"/>
      <c r="J299" s="86"/>
      <c r="K299" s="86"/>
      <c r="L299" s="86"/>
    </row>
    <row r="300" spans="4:12" s="83" customFormat="1" x14ac:dyDescent="0.2">
      <c r="D300" s="86"/>
      <c r="E300" s="86"/>
      <c r="F300" s="86"/>
      <c r="G300" s="86"/>
      <c r="H300" s="86"/>
      <c r="I300" s="86"/>
      <c r="J300" s="86"/>
      <c r="K300" s="86"/>
      <c r="L300" s="86"/>
    </row>
    <row r="301" spans="4:12" s="83" customFormat="1" x14ac:dyDescent="0.2">
      <c r="D301" s="86"/>
      <c r="E301" s="86"/>
      <c r="F301" s="86"/>
      <c r="G301" s="86"/>
      <c r="H301" s="86"/>
      <c r="I301" s="86"/>
      <c r="J301" s="86"/>
      <c r="K301" s="86"/>
      <c r="L301" s="86"/>
    </row>
    <row r="302" spans="4:12" s="83" customFormat="1" x14ac:dyDescent="0.2">
      <c r="D302" s="86"/>
      <c r="E302" s="86"/>
      <c r="F302" s="86"/>
      <c r="G302" s="86"/>
      <c r="H302" s="86"/>
      <c r="I302" s="86"/>
      <c r="J302" s="86"/>
      <c r="K302" s="86"/>
      <c r="L302" s="86"/>
    </row>
    <row r="303" spans="4:12" s="83" customFormat="1" x14ac:dyDescent="0.2">
      <c r="D303" s="86"/>
      <c r="E303" s="86"/>
      <c r="F303" s="86"/>
      <c r="G303" s="86"/>
      <c r="H303" s="86"/>
      <c r="I303" s="86"/>
      <c r="J303" s="86"/>
      <c r="K303" s="86"/>
      <c r="L303" s="86"/>
    </row>
    <row r="304" spans="4:12" s="83" customFormat="1" x14ac:dyDescent="0.2">
      <c r="D304" s="86"/>
      <c r="E304" s="86"/>
      <c r="F304" s="86"/>
      <c r="G304" s="86"/>
      <c r="H304" s="86"/>
      <c r="I304" s="86"/>
      <c r="J304" s="86"/>
      <c r="K304" s="86"/>
      <c r="L304" s="86"/>
    </row>
    <row r="305" spans="4:12" s="83" customFormat="1" x14ac:dyDescent="0.2">
      <c r="D305" s="86"/>
      <c r="E305" s="86"/>
      <c r="F305" s="86"/>
      <c r="G305" s="86"/>
      <c r="H305" s="86"/>
      <c r="I305" s="86"/>
      <c r="J305" s="86"/>
      <c r="K305" s="86"/>
      <c r="L305" s="86"/>
    </row>
    <row r="306" spans="4:12" s="83" customFormat="1" x14ac:dyDescent="0.2">
      <c r="D306" s="86"/>
      <c r="E306" s="86"/>
      <c r="F306" s="86"/>
      <c r="G306" s="86"/>
      <c r="H306" s="86"/>
      <c r="I306" s="86"/>
      <c r="J306" s="86"/>
      <c r="K306" s="86"/>
      <c r="L306" s="86"/>
    </row>
    <row r="307" spans="4:12" s="83" customFormat="1" x14ac:dyDescent="0.2">
      <c r="D307" s="86"/>
      <c r="E307" s="86"/>
      <c r="F307" s="86"/>
      <c r="G307" s="86"/>
      <c r="H307" s="86"/>
      <c r="I307" s="86"/>
      <c r="J307" s="86"/>
      <c r="K307" s="86"/>
      <c r="L307" s="86"/>
    </row>
    <row r="308" spans="4:12" s="83" customFormat="1" x14ac:dyDescent="0.2">
      <c r="D308" s="86"/>
      <c r="E308" s="86"/>
      <c r="F308" s="86"/>
      <c r="G308" s="86"/>
      <c r="H308" s="86"/>
      <c r="I308" s="86"/>
      <c r="J308" s="86"/>
      <c r="K308" s="86"/>
      <c r="L308" s="86"/>
    </row>
    <row r="309" spans="4:12" s="83" customFormat="1" x14ac:dyDescent="0.2">
      <c r="D309" s="86"/>
      <c r="E309" s="86"/>
      <c r="F309" s="86"/>
      <c r="G309" s="86"/>
      <c r="H309" s="86"/>
      <c r="I309" s="86"/>
      <c r="J309" s="86"/>
      <c r="K309" s="86"/>
      <c r="L309" s="86"/>
    </row>
    <row r="310" spans="4:12" s="83" customFormat="1" x14ac:dyDescent="0.2">
      <c r="D310" s="86"/>
      <c r="E310" s="86"/>
      <c r="F310" s="86"/>
      <c r="G310" s="86"/>
      <c r="H310" s="86"/>
      <c r="I310" s="86"/>
      <c r="J310" s="86"/>
      <c r="K310" s="86"/>
      <c r="L310" s="86"/>
    </row>
    <row r="311" spans="4:12" s="83" customFormat="1" x14ac:dyDescent="0.2">
      <c r="D311" s="86"/>
      <c r="E311" s="86"/>
      <c r="F311" s="86"/>
      <c r="G311" s="86"/>
      <c r="H311" s="86"/>
      <c r="I311" s="86"/>
      <c r="J311" s="86"/>
      <c r="K311" s="86"/>
      <c r="L311" s="86"/>
    </row>
    <row r="312" spans="4:12" s="83" customFormat="1" x14ac:dyDescent="0.2">
      <c r="D312" s="86"/>
      <c r="E312" s="86"/>
      <c r="F312" s="86"/>
      <c r="G312" s="86"/>
      <c r="H312" s="86"/>
      <c r="I312" s="86"/>
      <c r="J312" s="86"/>
      <c r="K312" s="86"/>
      <c r="L312" s="86"/>
    </row>
    <row r="313" spans="4:12" s="83" customFormat="1" x14ac:dyDescent="0.2">
      <c r="D313" s="86"/>
      <c r="E313" s="86"/>
      <c r="F313" s="86"/>
      <c r="G313" s="86"/>
      <c r="H313" s="86"/>
      <c r="I313" s="86"/>
      <c r="J313" s="86"/>
      <c r="K313" s="86"/>
      <c r="L313" s="86"/>
    </row>
    <row r="314" spans="4:12" s="83" customFormat="1" x14ac:dyDescent="0.2">
      <c r="D314" s="86"/>
      <c r="E314" s="86"/>
      <c r="F314" s="86"/>
      <c r="G314" s="86"/>
      <c r="H314" s="86"/>
      <c r="I314" s="86"/>
      <c r="J314" s="86"/>
      <c r="K314" s="86"/>
      <c r="L314" s="86"/>
    </row>
    <row r="315" spans="4:12" s="83" customFormat="1" x14ac:dyDescent="0.2">
      <c r="D315" s="86"/>
      <c r="E315" s="86"/>
      <c r="F315" s="86"/>
      <c r="G315" s="86"/>
      <c r="H315" s="86"/>
      <c r="I315" s="86"/>
      <c r="J315" s="86"/>
      <c r="K315" s="86"/>
      <c r="L315" s="86"/>
    </row>
    <row r="316" spans="4:12" s="83" customFormat="1" x14ac:dyDescent="0.2">
      <c r="D316" s="86"/>
      <c r="E316" s="86"/>
      <c r="F316" s="86"/>
      <c r="G316" s="86"/>
      <c r="H316" s="86"/>
      <c r="I316" s="86"/>
      <c r="J316" s="86"/>
      <c r="K316" s="86"/>
      <c r="L316" s="86"/>
    </row>
    <row r="317" spans="4:12" s="83" customFormat="1" x14ac:dyDescent="0.2">
      <c r="D317" s="86"/>
      <c r="E317" s="86"/>
      <c r="F317" s="86"/>
      <c r="G317" s="86"/>
      <c r="H317" s="86"/>
      <c r="I317" s="86"/>
      <c r="J317" s="86"/>
      <c r="K317" s="86"/>
      <c r="L317" s="86"/>
    </row>
    <row r="318" spans="4:12" s="83" customFormat="1" x14ac:dyDescent="0.2">
      <c r="D318" s="86"/>
      <c r="E318" s="86"/>
      <c r="F318" s="86"/>
      <c r="G318" s="86"/>
      <c r="H318" s="86"/>
      <c r="I318" s="86"/>
      <c r="J318" s="86"/>
      <c r="K318" s="86"/>
      <c r="L318" s="86"/>
    </row>
    <row r="319" spans="4:12" s="83" customFormat="1" x14ac:dyDescent="0.2">
      <c r="D319" s="86"/>
      <c r="E319" s="86"/>
      <c r="F319" s="86"/>
      <c r="G319" s="86"/>
      <c r="H319" s="86"/>
      <c r="I319" s="86"/>
      <c r="J319" s="86"/>
      <c r="K319" s="86"/>
      <c r="L319" s="86"/>
    </row>
    <row r="320" spans="4:12" s="83" customFormat="1" x14ac:dyDescent="0.2">
      <c r="D320" s="86"/>
      <c r="E320" s="86"/>
      <c r="F320" s="86"/>
      <c r="G320" s="86"/>
      <c r="H320" s="86"/>
      <c r="I320" s="86"/>
      <c r="J320" s="86"/>
      <c r="K320" s="86"/>
      <c r="L320" s="86"/>
    </row>
    <row r="321" spans="4:12" s="83" customFormat="1" x14ac:dyDescent="0.2">
      <c r="D321" s="86"/>
      <c r="E321" s="86"/>
      <c r="F321" s="86"/>
      <c r="G321" s="86"/>
      <c r="H321" s="86"/>
      <c r="I321" s="86"/>
      <c r="J321" s="86"/>
      <c r="K321" s="86"/>
      <c r="L321" s="86"/>
    </row>
    <row r="322" spans="4:12" s="83" customFormat="1" x14ac:dyDescent="0.2">
      <c r="D322" s="86"/>
      <c r="E322" s="86"/>
      <c r="F322" s="86"/>
      <c r="G322" s="86"/>
      <c r="H322" s="86"/>
      <c r="I322" s="86"/>
      <c r="J322" s="86"/>
      <c r="K322" s="86"/>
      <c r="L322" s="86"/>
    </row>
    <row r="323" spans="4:12" s="83" customFormat="1" x14ac:dyDescent="0.2">
      <c r="D323" s="86"/>
      <c r="E323" s="86"/>
      <c r="F323" s="86"/>
      <c r="G323" s="86"/>
      <c r="H323" s="86"/>
      <c r="I323" s="86"/>
      <c r="J323" s="86"/>
      <c r="K323" s="86"/>
      <c r="L323" s="86"/>
    </row>
    <row r="324" spans="4:12" s="83" customFormat="1" x14ac:dyDescent="0.2">
      <c r="D324" s="86"/>
      <c r="E324" s="86"/>
      <c r="F324" s="86"/>
      <c r="G324" s="86"/>
      <c r="H324" s="86"/>
      <c r="I324" s="86"/>
      <c r="J324" s="86"/>
      <c r="K324" s="86"/>
      <c r="L324" s="86"/>
    </row>
    <row r="325" spans="4:12" s="83" customFormat="1" x14ac:dyDescent="0.2">
      <c r="D325" s="86"/>
      <c r="E325" s="86"/>
      <c r="F325" s="86"/>
      <c r="G325" s="86"/>
      <c r="H325" s="86"/>
      <c r="I325" s="86"/>
      <c r="J325" s="86"/>
      <c r="K325" s="86"/>
      <c r="L325" s="86"/>
    </row>
    <row r="326" spans="4:12" s="83" customFormat="1" x14ac:dyDescent="0.2">
      <c r="D326" s="86"/>
      <c r="E326" s="86"/>
      <c r="F326" s="86"/>
      <c r="G326" s="86"/>
      <c r="H326" s="86"/>
      <c r="I326" s="86"/>
      <c r="J326" s="86"/>
      <c r="K326" s="86"/>
      <c r="L326" s="86"/>
    </row>
    <row r="327" spans="4:12" s="83" customFormat="1" x14ac:dyDescent="0.2">
      <c r="D327" s="86"/>
      <c r="E327" s="86"/>
      <c r="F327" s="86"/>
      <c r="G327" s="86"/>
      <c r="H327" s="86"/>
      <c r="I327" s="86"/>
      <c r="J327" s="86"/>
      <c r="K327" s="86"/>
      <c r="L327" s="86"/>
    </row>
    <row r="328" spans="4:12" s="83" customFormat="1" x14ac:dyDescent="0.2">
      <c r="D328" s="86"/>
      <c r="E328" s="86"/>
      <c r="F328" s="86"/>
      <c r="G328" s="86"/>
      <c r="H328" s="86"/>
      <c r="I328" s="86"/>
      <c r="J328" s="86"/>
      <c r="K328" s="86"/>
      <c r="L328" s="86"/>
    </row>
    <row r="329" spans="4:12" s="83" customFormat="1" x14ac:dyDescent="0.2">
      <c r="D329" s="86"/>
      <c r="E329" s="86"/>
      <c r="F329" s="86"/>
      <c r="G329" s="86"/>
      <c r="H329" s="86"/>
      <c r="I329" s="86"/>
      <c r="J329" s="86"/>
      <c r="K329" s="86"/>
      <c r="L329" s="86"/>
    </row>
    <row r="330" spans="4:12" s="83" customFormat="1" x14ac:dyDescent="0.2">
      <c r="D330" s="86"/>
      <c r="E330" s="86"/>
      <c r="F330" s="86"/>
      <c r="G330" s="86"/>
      <c r="H330" s="86"/>
      <c r="I330" s="86"/>
      <c r="J330" s="86"/>
      <c r="K330" s="86"/>
      <c r="L330" s="86"/>
    </row>
    <row r="331" spans="4:12" s="83" customFormat="1" x14ac:dyDescent="0.2">
      <c r="D331" s="86"/>
      <c r="E331" s="86"/>
      <c r="F331" s="86"/>
      <c r="G331" s="86"/>
      <c r="H331" s="86"/>
      <c r="I331" s="86"/>
      <c r="J331" s="86"/>
      <c r="K331" s="86"/>
      <c r="L331" s="86"/>
    </row>
    <row r="332" spans="4:12" s="83" customFormat="1" x14ac:dyDescent="0.2">
      <c r="D332" s="86"/>
      <c r="E332" s="86"/>
      <c r="F332" s="86"/>
      <c r="G332" s="86"/>
      <c r="H332" s="86"/>
      <c r="I332" s="86"/>
      <c r="J332" s="86"/>
      <c r="K332" s="86"/>
      <c r="L332" s="86"/>
    </row>
    <row r="333" spans="4:12" s="83" customFormat="1" x14ac:dyDescent="0.2">
      <c r="D333" s="86"/>
      <c r="E333" s="86"/>
      <c r="F333" s="86"/>
      <c r="G333" s="86"/>
      <c r="H333" s="86"/>
      <c r="I333" s="86"/>
      <c r="J333" s="86"/>
      <c r="K333" s="86"/>
      <c r="L333" s="86"/>
    </row>
    <row r="334" spans="4:12" s="83" customFormat="1" x14ac:dyDescent="0.2">
      <c r="D334" s="86"/>
      <c r="E334" s="86"/>
      <c r="F334" s="86"/>
      <c r="G334" s="86"/>
      <c r="H334" s="86"/>
      <c r="I334" s="86"/>
      <c r="J334" s="86"/>
      <c r="K334" s="86"/>
      <c r="L334" s="86"/>
    </row>
    <row r="335" spans="4:12" s="83" customFormat="1" x14ac:dyDescent="0.2">
      <c r="D335" s="86"/>
      <c r="E335" s="86"/>
      <c r="F335" s="86"/>
      <c r="G335" s="86"/>
      <c r="H335" s="86"/>
      <c r="I335" s="86"/>
      <c r="J335" s="86"/>
      <c r="K335" s="86"/>
      <c r="L335" s="86"/>
    </row>
    <row r="336" spans="4:12" s="83" customFormat="1" x14ac:dyDescent="0.2">
      <c r="D336" s="86"/>
      <c r="E336" s="86"/>
      <c r="F336" s="86"/>
      <c r="G336" s="86"/>
      <c r="H336" s="86"/>
      <c r="I336" s="86"/>
      <c r="J336" s="86"/>
      <c r="K336" s="86"/>
      <c r="L336" s="86"/>
    </row>
    <row r="337" spans="4:12" s="83" customFormat="1" x14ac:dyDescent="0.2">
      <c r="D337" s="86"/>
      <c r="E337" s="86"/>
      <c r="F337" s="86"/>
      <c r="G337" s="86"/>
      <c r="H337" s="86"/>
      <c r="I337" s="86"/>
      <c r="J337" s="86"/>
      <c r="K337" s="86"/>
      <c r="L337" s="86"/>
    </row>
    <row r="338" spans="4:12" s="83" customFormat="1" x14ac:dyDescent="0.2">
      <c r="D338" s="86"/>
      <c r="E338" s="86"/>
      <c r="F338" s="86"/>
      <c r="G338" s="86"/>
      <c r="H338" s="86"/>
      <c r="I338" s="86"/>
      <c r="J338" s="86"/>
      <c r="K338" s="86"/>
      <c r="L338" s="86"/>
    </row>
    <row r="339" spans="4:12" s="83" customFormat="1" x14ac:dyDescent="0.2">
      <c r="D339" s="86"/>
      <c r="E339" s="86"/>
      <c r="F339" s="86"/>
      <c r="G339" s="86"/>
      <c r="H339" s="86"/>
      <c r="I339" s="86"/>
      <c r="J339" s="86"/>
      <c r="K339" s="86"/>
      <c r="L339" s="86"/>
    </row>
    <row r="340" spans="4:12" s="83" customFormat="1" x14ac:dyDescent="0.2">
      <c r="D340" s="86"/>
      <c r="E340" s="86"/>
      <c r="F340" s="86"/>
      <c r="G340" s="86"/>
      <c r="H340" s="86"/>
      <c r="I340" s="86"/>
      <c r="J340" s="86"/>
      <c r="K340" s="86"/>
      <c r="L340" s="86"/>
    </row>
    <row r="341" spans="4:12" s="83" customFormat="1" x14ac:dyDescent="0.2">
      <c r="D341" s="86"/>
      <c r="E341" s="86"/>
      <c r="F341" s="86"/>
      <c r="G341" s="86"/>
      <c r="H341" s="86"/>
      <c r="I341" s="86"/>
      <c r="J341" s="86"/>
      <c r="K341" s="86"/>
      <c r="L341" s="86"/>
    </row>
    <row r="342" spans="4:12" s="83" customFormat="1" x14ac:dyDescent="0.2">
      <c r="D342" s="86"/>
      <c r="E342" s="86"/>
      <c r="F342" s="86"/>
      <c r="G342" s="86"/>
      <c r="H342" s="86"/>
      <c r="I342" s="86"/>
      <c r="J342" s="86"/>
      <c r="K342" s="86"/>
      <c r="L342" s="86"/>
    </row>
    <row r="343" spans="4:12" s="83" customFormat="1" x14ac:dyDescent="0.2">
      <c r="D343" s="86"/>
      <c r="E343" s="86"/>
      <c r="F343" s="86"/>
      <c r="G343" s="86"/>
      <c r="H343" s="86"/>
      <c r="I343" s="86"/>
      <c r="J343" s="86"/>
      <c r="K343" s="86"/>
      <c r="L343" s="86"/>
    </row>
    <row r="344" spans="4:12" s="83" customFormat="1" x14ac:dyDescent="0.2">
      <c r="D344" s="86"/>
      <c r="E344" s="86"/>
      <c r="F344" s="86"/>
      <c r="G344" s="86"/>
      <c r="H344" s="86"/>
      <c r="I344" s="86"/>
      <c r="J344" s="86"/>
      <c r="K344" s="86"/>
      <c r="L344" s="86"/>
    </row>
    <row r="345" spans="4:12" s="83" customFormat="1" x14ac:dyDescent="0.2">
      <c r="D345" s="86"/>
      <c r="E345" s="86"/>
      <c r="F345" s="86"/>
      <c r="G345" s="86"/>
      <c r="H345" s="86"/>
      <c r="I345" s="86"/>
      <c r="J345" s="86"/>
      <c r="K345" s="86"/>
      <c r="L345" s="86"/>
    </row>
    <row r="346" spans="4:12" s="83" customFormat="1" x14ac:dyDescent="0.2">
      <c r="D346" s="86"/>
      <c r="E346" s="86"/>
      <c r="F346" s="86"/>
      <c r="G346" s="86"/>
      <c r="H346" s="86"/>
      <c r="I346" s="86"/>
      <c r="J346" s="86"/>
      <c r="K346" s="86"/>
      <c r="L346" s="86"/>
    </row>
    <row r="347" spans="4:12" s="83" customFormat="1" x14ac:dyDescent="0.2">
      <c r="D347" s="86"/>
      <c r="E347" s="86"/>
      <c r="F347" s="86"/>
      <c r="G347" s="86"/>
      <c r="H347" s="86"/>
      <c r="I347" s="86"/>
      <c r="J347" s="86"/>
      <c r="K347" s="86"/>
      <c r="L347" s="86"/>
    </row>
    <row r="348" spans="4:12" s="83" customFormat="1" x14ac:dyDescent="0.2">
      <c r="D348" s="86"/>
      <c r="E348" s="86"/>
      <c r="F348" s="86"/>
      <c r="G348" s="86"/>
      <c r="H348" s="86"/>
      <c r="I348" s="86"/>
      <c r="J348" s="86"/>
      <c r="K348" s="86"/>
      <c r="L348" s="86"/>
    </row>
    <row r="349" spans="4:12" s="83" customFormat="1" x14ac:dyDescent="0.2">
      <c r="D349" s="86"/>
      <c r="E349" s="86"/>
      <c r="F349" s="86"/>
      <c r="G349" s="86"/>
      <c r="H349" s="86"/>
      <c r="I349" s="86"/>
      <c r="J349" s="86"/>
      <c r="K349" s="86"/>
      <c r="L349" s="86"/>
    </row>
    <row r="350" spans="4:12" s="83" customFormat="1" x14ac:dyDescent="0.2">
      <c r="D350" s="86"/>
      <c r="E350" s="86"/>
      <c r="F350" s="86"/>
      <c r="G350" s="86"/>
      <c r="H350" s="86"/>
      <c r="I350" s="86"/>
      <c r="J350" s="86"/>
      <c r="K350" s="86"/>
      <c r="L350" s="86"/>
    </row>
    <row r="351" spans="4:12" s="83" customFormat="1" x14ac:dyDescent="0.2">
      <c r="D351" s="86"/>
      <c r="E351" s="86"/>
      <c r="F351" s="86"/>
      <c r="G351" s="86"/>
      <c r="H351" s="86"/>
      <c r="I351" s="86"/>
      <c r="J351" s="86"/>
      <c r="K351" s="86"/>
      <c r="L351" s="86"/>
    </row>
    <row r="352" spans="4:12" s="83" customFormat="1" x14ac:dyDescent="0.2">
      <c r="D352" s="86"/>
      <c r="E352" s="86"/>
      <c r="F352" s="86"/>
      <c r="G352" s="86"/>
      <c r="H352" s="86"/>
      <c r="I352" s="86"/>
      <c r="J352" s="86"/>
      <c r="K352" s="86"/>
      <c r="L352" s="86"/>
    </row>
    <row r="353" spans="4:12" s="83" customFormat="1" x14ac:dyDescent="0.2">
      <c r="D353" s="86"/>
      <c r="E353" s="86"/>
      <c r="F353" s="86"/>
      <c r="G353" s="86"/>
      <c r="H353" s="86"/>
      <c r="I353" s="86"/>
      <c r="J353" s="86"/>
      <c r="K353" s="86"/>
      <c r="L353" s="86"/>
    </row>
    <row r="354" spans="4:12" s="83" customFormat="1" x14ac:dyDescent="0.2">
      <c r="D354" s="86"/>
      <c r="E354" s="86"/>
      <c r="F354" s="86"/>
      <c r="G354" s="86"/>
      <c r="H354" s="86"/>
      <c r="I354" s="86"/>
      <c r="J354" s="86"/>
      <c r="K354" s="86"/>
      <c r="L354" s="86"/>
    </row>
    <row r="355" spans="4:12" s="83" customFormat="1" x14ac:dyDescent="0.2">
      <c r="D355" s="86"/>
      <c r="E355" s="86"/>
      <c r="F355" s="86"/>
      <c r="G355" s="86"/>
      <c r="H355" s="86"/>
      <c r="I355" s="86"/>
      <c r="J355" s="86"/>
      <c r="K355" s="86"/>
      <c r="L355" s="86"/>
    </row>
    <row r="356" spans="4:12" s="83" customFormat="1" x14ac:dyDescent="0.2">
      <c r="D356" s="86"/>
      <c r="E356" s="86"/>
      <c r="F356" s="86"/>
      <c r="G356" s="86"/>
      <c r="H356" s="86"/>
      <c r="I356" s="86"/>
      <c r="J356" s="86"/>
      <c r="K356" s="86"/>
      <c r="L356" s="86"/>
    </row>
    <row r="357" spans="4:12" s="83" customFormat="1" x14ac:dyDescent="0.2">
      <c r="D357" s="86"/>
      <c r="E357" s="86"/>
      <c r="F357" s="86"/>
      <c r="G357" s="86"/>
      <c r="H357" s="86"/>
      <c r="I357" s="86"/>
      <c r="J357" s="86"/>
      <c r="K357" s="86"/>
      <c r="L357" s="86"/>
    </row>
    <row r="358" spans="4:12" s="83" customFormat="1" x14ac:dyDescent="0.2">
      <c r="D358" s="86"/>
      <c r="E358" s="86"/>
      <c r="F358" s="86"/>
      <c r="G358" s="86"/>
      <c r="H358" s="86"/>
      <c r="I358" s="86"/>
      <c r="J358" s="86"/>
      <c r="K358" s="86"/>
      <c r="L358" s="86"/>
    </row>
  </sheetData>
  <sheetProtection formatCells="0" formatColumns="0" formatRows="0" insertColumns="0" insertRows="0" insertHyperlinks="0" deleteColumns="0" deleteRows="0" selectLockedCells="1" sort="0" autoFilter="0" pivotTables="0"/>
  <protectedRanges>
    <protectedRange sqref="F118:G135 G117 L36 L38 L40 L22 L24 L26 F11:G116 L43 L45 L47 I11:K135" name="Range1_1_1_6"/>
    <protectedRange sqref="C11:C135" name="Range1_1_1_6_1"/>
  </protectedRanges>
  <mergeCells count="15">
    <mergeCell ref="H9:H10"/>
    <mergeCell ref="I9:L9"/>
    <mergeCell ref="M9:M10"/>
    <mergeCell ref="B2:C3"/>
    <mergeCell ref="D2:F2"/>
    <mergeCell ref="H2:I2"/>
    <mergeCell ref="D3:F3"/>
    <mergeCell ref="H3:I3"/>
    <mergeCell ref="A8:M8"/>
    <mergeCell ref="F5:G5"/>
    <mergeCell ref="F9:G9"/>
    <mergeCell ref="A9:B10"/>
    <mergeCell ref="C9:C10"/>
    <mergeCell ref="D9:D10"/>
    <mergeCell ref="E9:E10"/>
  </mergeCells>
  <conditionalFormatting sqref="I6:K6">
    <cfRule type="expression" dxfId="19" priority="26">
      <formula>EXACT(I6,"NA")</formula>
    </cfRule>
    <cfRule type="expression" dxfId="18" priority="41">
      <formula xml:space="preserve"> NOT(EXACT(I6, "100"))</formula>
    </cfRule>
    <cfRule type="expression" dxfId="17" priority="208">
      <formula xml:space="preserve"> EXACT(I6, "100")</formula>
    </cfRule>
  </conditionalFormatting>
  <conditionalFormatting sqref="D6:E6 H6 L6">
    <cfRule type="expression" dxfId="16" priority="24">
      <formula>EXACT(D6,"NA")</formula>
    </cfRule>
    <cfRule type="expression" dxfId="15" priority="172">
      <formula>VALUE(D6)=1</formula>
    </cfRule>
    <cfRule type="expression" dxfId="14" priority="173">
      <formula>VALUE(D6)&lt;1</formula>
    </cfRule>
  </conditionalFormatting>
  <conditionalFormatting sqref="F118:G135 G117 F11:G116">
    <cfRule type="cellIs" dxfId="13" priority="83" operator="greaterThanOrEqual">
      <formula>0</formula>
    </cfRule>
  </conditionalFormatting>
  <conditionalFormatting sqref="D6:L6">
    <cfRule type="containsText" dxfId="12" priority="15" operator="containsText" text="TBD">
      <formula>NOT(ISERROR(SEARCH("TBD",D6)))</formula>
    </cfRule>
  </conditionalFormatting>
  <conditionalFormatting sqref="M6">
    <cfRule type="notContainsBlanks" dxfId="11" priority="209">
      <formula>LEN(TRIM(M6))&gt;0</formula>
    </cfRule>
    <cfRule type="containsBlanks" dxfId="10" priority="210">
      <formula>LEN(TRIM(M6))=0</formula>
    </cfRule>
  </conditionalFormatting>
  <conditionalFormatting sqref="F6:G7">
    <cfRule type="expression" dxfId="9" priority="27">
      <formula>EXACT(F6,"NA")</formula>
    </cfRule>
    <cfRule type="expression" dxfId="8" priority="39">
      <formula xml:space="preserve"> NOT(EXACT(F6, "0"))</formula>
    </cfRule>
    <cfRule type="expression" dxfId="7" priority="40">
      <formula xml:space="preserve"> EXACT(F6, "0")</formula>
    </cfRule>
  </conditionalFormatting>
  <dataValidations count="5">
    <dataValidation type="list" showInputMessage="1" showErrorMessage="1" sqref="E131 E119:E122 F117 D11:D135" xr:uid="{00000000-0002-0000-0100-000000000000}">
      <formula1>"0,1,NA"</formula1>
    </dataValidation>
    <dataValidation type="custom" showInputMessage="1" showErrorMessage="1" sqref="E123:E130 E132:E135 L37 L39 L11:L21 L23 L25 L27:L35 E11:E118 H11:H135 L41:L42 L44 L46 L48:L135" xr:uid="{00000000-0002-0000-0100-000001000000}">
      <formula1>OR(E11="NA",AND(ISNUMBER(E11),E11&gt;=0))</formula1>
    </dataValidation>
    <dataValidation type="custom" showInputMessage="1" showErrorMessage="1" sqref="I38:L38 L36 L40 L26 I24:L24 L22 I11:K23 I25:K37 K45:L45 L43 L47 K39:K44 K46:K135 I39:J135" xr:uid="{00000000-0002-0000-0100-000003000000}">
      <formula1>IF(OR(AND(I11&gt;=0,I11&lt;=100),I11="NA"),TRUE,FALSE)</formula1>
    </dataValidation>
    <dataValidation type="custom" operator="greaterThanOrEqual" showInputMessage="1" showErrorMessage="1" sqref="F118:F135 F11:F116 G11:G135" xr:uid="{00000000-0002-0000-0100-000004000000}">
      <formula1>OR(F11="NA",F11="TBD",AND(ISNUMBER(F11),F11&gt;=0))</formula1>
    </dataValidation>
    <dataValidation errorStyle="information" operator="equal" allowBlank="1" errorTitle="Do not edit field!" error="Please use the table in &quot;Sample Deliveries Planning&quot; for modifying the list with modules." promptTitle="Do not edit field!" prompt="-" sqref="A11:C135" xr:uid="{00000000-0002-0000-0100-000002000000}"/>
  </dataValidations>
  <pageMargins left="0.26" right="0.19" top="0.39370078740157499" bottom="0.39370078740157499" header="0.23622047244094499" footer="0.27559055118110198"/>
  <pageSetup paperSize="9" scale="59" fitToWidth="2" fitToHeight="6" pageOrder="overThenDown" orientation="landscape" horizontalDpi="4294967292" r:id="rId1"/>
  <headerFooter alignWithMargins="0">
    <oddFooter>&amp;L________________________________________________
&amp;A&amp;C________________________
- &amp;P of &amp;N -&amp;R________________________________________________
Printed: &amp;D</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O34"/>
  <sheetViews>
    <sheetView zoomScale="80" zoomScaleNormal="80" workbookViewId="0">
      <selection activeCell="C5" sqref="C5"/>
    </sheetView>
  </sheetViews>
  <sheetFormatPr baseColWidth="10" defaultColWidth="11.42578125" defaultRowHeight="15" x14ac:dyDescent="0.25"/>
  <cols>
    <col min="1" max="1" width="33.85546875" style="88" customWidth="1"/>
    <col min="2" max="2" width="79.7109375" style="88" bestFit="1" customWidth="1"/>
    <col min="3" max="3" width="27" style="88" customWidth="1"/>
    <col min="4" max="4" width="4.140625" style="88" customWidth="1"/>
    <col min="5" max="5" width="9.42578125" style="88" customWidth="1"/>
    <col min="6" max="6" width="16.42578125" style="88" customWidth="1"/>
    <col min="7" max="7" width="8.28515625" style="88" customWidth="1"/>
    <col min="8" max="8" width="11.140625" style="88" customWidth="1"/>
    <col min="9" max="9" width="8.85546875" style="88" customWidth="1"/>
    <col min="10" max="10" width="5.85546875" style="88" customWidth="1"/>
    <col min="11" max="11" width="5.5703125" style="88" customWidth="1"/>
    <col min="12" max="13" width="6.7109375" style="88" customWidth="1"/>
    <col min="14" max="14" width="37.140625" style="88" customWidth="1"/>
    <col min="15" max="15" width="20.7109375" style="88" bestFit="1" customWidth="1"/>
    <col min="16" max="16384" width="11.42578125" style="88"/>
  </cols>
  <sheetData>
    <row r="1" spans="1:3" ht="21" x14ac:dyDescent="0.35">
      <c r="A1" s="87" t="s">
        <v>48</v>
      </c>
    </row>
    <row r="2" spans="1:3" ht="15.75" thickBot="1" x14ac:dyDescent="0.3"/>
    <row r="3" spans="1:3" ht="15.75" thickBot="1" x14ac:dyDescent="0.3">
      <c r="A3" s="101" t="s">
        <v>2</v>
      </c>
      <c r="B3" s="100" t="s">
        <v>56</v>
      </c>
      <c r="C3" s="102" t="s">
        <v>55</v>
      </c>
    </row>
    <row r="4" spans="1:3" ht="15.75" thickBot="1" x14ac:dyDescent="0.3">
      <c r="A4" s="98" t="s">
        <v>57</v>
      </c>
      <c r="B4" s="103" t="s">
        <v>369</v>
      </c>
      <c r="C4" s="99" t="s">
        <v>49</v>
      </c>
    </row>
    <row r="5" spans="1:3" ht="15.75" thickBot="1" x14ac:dyDescent="0.3">
      <c r="A5" s="98" t="s">
        <v>58</v>
      </c>
      <c r="B5" s="103" t="s">
        <v>43</v>
      </c>
      <c r="C5" s="99" t="s">
        <v>50</v>
      </c>
    </row>
    <row r="6" spans="1:3" ht="15.75" thickBot="1" x14ac:dyDescent="0.3">
      <c r="A6" s="165" t="s">
        <v>62</v>
      </c>
      <c r="B6" s="104" t="s">
        <v>174</v>
      </c>
      <c r="C6" s="95" t="s">
        <v>54</v>
      </c>
    </row>
    <row r="7" spans="1:3" x14ac:dyDescent="0.25">
      <c r="A7" s="169" t="s">
        <v>101</v>
      </c>
      <c r="B7" s="167" t="s">
        <v>318</v>
      </c>
      <c r="C7" s="172" t="s">
        <v>66</v>
      </c>
    </row>
    <row r="8" spans="1:3" x14ac:dyDescent="0.25">
      <c r="A8" s="170"/>
      <c r="B8" s="166"/>
      <c r="C8" s="173"/>
    </row>
    <row r="9" spans="1:3" x14ac:dyDescent="0.25">
      <c r="A9" s="170"/>
      <c r="B9" s="166"/>
      <c r="C9" s="173"/>
    </row>
    <row r="10" spans="1:3" x14ac:dyDescent="0.25">
      <c r="A10" s="170"/>
      <c r="B10" s="166"/>
      <c r="C10" s="173"/>
    </row>
    <row r="11" spans="1:3" x14ac:dyDescent="0.25">
      <c r="A11" s="170"/>
      <c r="B11" s="166"/>
      <c r="C11" s="173"/>
    </row>
    <row r="12" spans="1:3" x14ac:dyDescent="0.25">
      <c r="A12" s="170"/>
      <c r="B12" s="166"/>
      <c r="C12" s="173"/>
    </row>
    <row r="13" spans="1:3" x14ac:dyDescent="0.25">
      <c r="A13" s="170"/>
      <c r="B13" s="166"/>
      <c r="C13" s="173"/>
    </row>
    <row r="14" spans="1:3" ht="15.75" thickBot="1" x14ac:dyDescent="0.3">
      <c r="A14" s="171"/>
      <c r="B14" s="168"/>
      <c r="C14" s="174"/>
    </row>
    <row r="15" spans="1:3" x14ac:dyDescent="0.25">
      <c r="A15" s="92" t="s">
        <v>59</v>
      </c>
      <c r="B15" s="105" t="s">
        <v>175</v>
      </c>
      <c r="C15" s="96" t="s">
        <v>53</v>
      </c>
    </row>
    <row r="16" spans="1:3" x14ac:dyDescent="0.25">
      <c r="A16" s="92"/>
      <c r="B16" s="105" t="s">
        <v>176</v>
      </c>
      <c r="C16" s="96"/>
    </row>
    <row r="17" spans="1:15" x14ac:dyDescent="0.25">
      <c r="A17" s="92"/>
      <c r="B17" s="105" t="s">
        <v>64</v>
      </c>
      <c r="C17" s="96"/>
      <c r="E17" s="155" t="s">
        <v>153</v>
      </c>
    </row>
    <row r="18" spans="1:15" x14ac:dyDescent="0.25">
      <c r="A18" s="92"/>
      <c r="B18" s="105" t="s">
        <v>65</v>
      </c>
      <c r="C18" s="96"/>
      <c r="E18" s="219" t="s">
        <v>0</v>
      </c>
      <c r="F18" s="220"/>
      <c r="G18" s="219" t="s">
        <v>148</v>
      </c>
      <c r="H18" s="220"/>
      <c r="I18" s="221" t="s">
        <v>147</v>
      </c>
      <c r="J18" s="219" t="s">
        <v>149</v>
      </c>
      <c r="K18" s="220"/>
      <c r="L18" s="220"/>
      <c r="M18" s="220"/>
      <c r="N18" s="158"/>
    </row>
    <row r="19" spans="1:15" ht="15.75" thickBot="1" x14ac:dyDescent="0.3">
      <c r="A19" s="93"/>
      <c r="B19" s="106" t="s">
        <v>253</v>
      </c>
      <c r="C19" s="97"/>
      <c r="E19" s="160" t="s">
        <v>0</v>
      </c>
      <c r="F19" s="160" t="s">
        <v>13</v>
      </c>
      <c r="G19" s="161" t="s">
        <v>145</v>
      </c>
      <c r="H19" s="161" t="s">
        <v>146</v>
      </c>
      <c r="I19" s="222"/>
      <c r="J19" s="161" t="s">
        <v>17</v>
      </c>
      <c r="K19" s="160" t="s">
        <v>18</v>
      </c>
      <c r="L19" s="162" t="s">
        <v>19</v>
      </c>
      <c r="M19" s="162" t="s">
        <v>37</v>
      </c>
      <c r="N19" s="159" t="s">
        <v>102</v>
      </c>
    </row>
    <row r="20" spans="1:15" x14ac:dyDescent="0.25">
      <c r="A20" s="91" t="s">
        <v>60</v>
      </c>
      <c r="B20" s="104" t="s">
        <v>44</v>
      </c>
      <c r="C20" s="95" t="s">
        <v>52</v>
      </c>
      <c r="E20" s="146">
        <v>0</v>
      </c>
      <c r="F20" s="147">
        <v>0</v>
      </c>
      <c r="G20" s="147" t="s">
        <v>144</v>
      </c>
      <c r="H20" s="147" t="s">
        <v>144</v>
      </c>
      <c r="I20" s="147">
        <v>0</v>
      </c>
      <c r="J20" s="147">
        <v>0</v>
      </c>
      <c r="K20" s="147">
        <v>0</v>
      </c>
      <c r="L20" s="147">
        <v>0</v>
      </c>
      <c r="M20" s="147">
        <v>0</v>
      </c>
      <c r="N20" s="148"/>
      <c r="O20" s="154" t="s">
        <v>143</v>
      </c>
    </row>
    <row r="21" spans="1:15" x14ac:dyDescent="0.25">
      <c r="A21" s="92"/>
      <c r="B21" s="105" t="s">
        <v>45</v>
      </c>
      <c r="C21" s="96"/>
      <c r="E21" s="156">
        <v>0</v>
      </c>
      <c r="F21" s="157">
        <v>0</v>
      </c>
      <c r="G21" s="157" t="s">
        <v>144</v>
      </c>
      <c r="H21" s="157" t="s">
        <v>144</v>
      </c>
      <c r="I21" s="157">
        <v>0</v>
      </c>
      <c r="J21" s="157">
        <v>0</v>
      </c>
      <c r="K21" s="157">
        <v>0</v>
      </c>
      <c r="L21" s="157">
        <v>0</v>
      </c>
      <c r="M21" s="157">
        <v>0</v>
      </c>
      <c r="N21" s="150"/>
      <c r="O21" s="96"/>
    </row>
    <row r="22" spans="1:15" x14ac:dyDescent="0.25">
      <c r="A22" s="92"/>
      <c r="B22" s="105" t="s">
        <v>46</v>
      </c>
      <c r="C22" s="96"/>
      <c r="E22" s="156">
        <v>0</v>
      </c>
      <c r="F22" s="157">
        <v>0</v>
      </c>
      <c r="G22" s="157" t="s">
        <v>144</v>
      </c>
      <c r="H22" s="157" t="s">
        <v>144</v>
      </c>
      <c r="I22" s="157">
        <v>0</v>
      </c>
      <c r="J22" s="157" t="s">
        <v>38</v>
      </c>
      <c r="K22" s="157" t="s">
        <v>38</v>
      </c>
      <c r="L22" s="157" t="s">
        <v>38</v>
      </c>
      <c r="M22" s="157" t="s">
        <v>38</v>
      </c>
      <c r="N22" s="150" t="s">
        <v>154</v>
      </c>
      <c r="O22" s="96"/>
    </row>
    <row r="23" spans="1:15" x14ac:dyDescent="0.25">
      <c r="A23" s="92"/>
      <c r="B23" s="105" t="s">
        <v>156</v>
      </c>
      <c r="C23" s="96"/>
      <c r="E23" s="156" t="s">
        <v>38</v>
      </c>
      <c r="F23" s="157" t="s">
        <v>38</v>
      </c>
      <c r="G23" s="157" t="s">
        <v>38</v>
      </c>
      <c r="H23" s="157" t="s">
        <v>38</v>
      </c>
      <c r="I23" s="157">
        <v>0</v>
      </c>
      <c r="J23" s="157" t="s">
        <v>38</v>
      </c>
      <c r="K23" s="157" t="s">
        <v>38</v>
      </c>
      <c r="L23" s="157" t="s">
        <v>38</v>
      </c>
      <c r="M23" s="157" t="s">
        <v>38</v>
      </c>
      <c r="N23" s="150" t="s">
        <v>150</v>
      </c>
      <c r="O23" s="96"/>
    </row>
    <row r="24" spans="1:15" x14ac:dyDescent="0.25">
      <c r="A24" s="92"/>
      <c r="B24" s="105" t="s">
        <v>177</v>
      </c>
      <c r="C24" s="96"/>
      <c r="E24" s="156">
        <v>0</v>
      </c>
      <c r="F24" s="157">
        <v>0</v>
      </c>
      <c r="G24" s="157" t="s">
        <v>38</v>
      </c>
      <c r="H24" s="157" t="s">
        <v>38</v>
      </c>
      <c r="I24" s="157">
        <v>0</v>
      </c>
      <c r="J24" s="157" t="s">
        <v>38</v>
      </c>
      <c r="K24" s="157" t="s">
        <v>38</v>
      </c>
      <c r="L24" s="157" t="s">
        <v>38</v>
      </c>
      <c r="M24" s="157" t="s">
        <v>38</v>
      </c>
      <c r="N24" s="150" t="s">
        <v>155</v>
      </c>
      <c r="O24" s="96"/>
    </row>
    <row r="25" spans="1:15" x14ac:dyDescent="0.25">
      <c r="A25" s="92"/>
      <c r="B25" s="105"/>
      <c r="C25" s="96"/>
      <c r="E25" s="149" t="s">
        <v>38</v>
      </c>
      <c r="F25" s="145" t="s">
        <v>38</v>
      </c>
      <c r="G25" s="145" t="s">
        <v>38</v>
      </c>
      <c r="H25" s="145" t="s">
        <v>38</v>
      </c>
      <c r="I25" s="145" t="s">
        <v>38</v>
      </c>
      <c r="J25" s="145" t="s">
        <v>38</v>
      </c>
      <c r="K25" s="145" t="s">
        <v>38</v>
      </c>
      <c r="L25" s="145" t="s">
        <v>38</v>
      </c>
      <c r="M25" s="145" t="s">
        <v>38</v>
      </c>
      <c r="N25" s="150" t="s">
        <v>157</v>
      </c>
      <c r="O25" s="96"/>
    </row>
    <row r="26" spans="1:15" x14ac:dyDescent="0.25">
      <c r="A26" s="92"/>
      <c r="B26" s="105"/>
      <c r="C26" s="96"/>
      <c r="E26" s="149"/>
      <c r="F26" s="145"/>
      <c r="G26" s="145"/>
      <c r="H26" s="145"/>
      <c r="I26" s="145"/>
      <c r="J26" s="145"/>
      <c r="K26" s="145"/>
      <c r="L26" s="145"/>
      <c r="M26" s="145"/>
      <c r="N26" s="150"/>
      <c r="O26" s="96"/>
    </row>
    <row r="27" spans="1:15" x14ac:dyDescent="0.25">
      <c r="A27" s="92"/>
      <c r="B27" s="105"/>
      <c r="C27" s="96"/>
      <c r="E27" s="149"/>
      <c r="F27" s="145"/>
      <c r="G27" s="145"/>
      <c r="H27" s="145"/>
      <c r="I27" s="145"/>
      <c r="J27" s="145"/>
      <c r="K27" s="145"/>
      <c r="L27" s="145"/>
      <c r="M27" s="145"/>
      <c r="N27" s="150"/>
      <c r="O27" s="96"/>
    </row>
    <row r="28" spans="1:15" x14ac:dyDescent="0.25">
      <c r="A28" s="92"/>
      <c r="B28" s="105"/>
      <c r="C28" s="96"/>
      <c r="E28" s="149"/>
      <c r="F28" s="145"/>
      <c r="G28" s="145"/>
      <c r="H28" s="145"/>
      <c r="I28" s="145"/>
      <c r="J28" s="145"/>
      <c r="K28" s="145"/>
      <c r="L28" s="145"/>
      <c r="M28" s="145"/>
      <c r="N28" s="150"/>
      <c r="O28" s="96"/>
    </row>
    <row r="29" spans="1:15" ht="15.75" thickBot="1" x14ac:dyDescent="0.3">
      <c r="A29" s="93"/>
      <c r="B29" s="106"/>
      <c r="C29" s="97"/>
      <c r="E29" s="151"/>
      <c r="F29" s="152"/>
      <c r="G29" s="152"/>
      <c r="H29" s="152"/>
      <c r="I29" s="152"/>
      <c r="J29" s="152"/>
      <c r="K29" s="152"/>
      <c r="L29" s="152"/>
      <c r="M29" s="152"/>
      <c r="N29" s="153"/>
      <c r="O29" s="97"/>
    </row>
    <row r="30" spans="1:15" x14ac:dyDescent="0.25">
      <c r="A30" s="88" t="s">
        <v>47</v>
      </c>
    </row>
    <row r="31" spans="1:15" ht="15.75" thickBot="1" x14ac:dyDescent="0.3">
      <c r="A31" s="144" t="s">
        <v>151</v>
      </c>
    </row>
    <row r="32" spans="1:15" ht="15.75" thickBot="1" x14ac:dyDescent="0.3">
      <c r="A32" s="163" t="s">
        <v>169</v>
      </c>
      <c r="B32" s="175" t="s">
        <v>421</v>
      </c>
      <c r="C32" s="164" t="s">
        <v>170</v>
      </c>
    </row>
    <row r="33" spans="1:3" ht="15.75" thickBot="1" x14ac:dyDescent="0.3">
      <c r="A33" s="142" t="s">
        <v>141</v>
      </c>
      <c r="B33" s="90">
        <v>314</v>
      </c>
      <c r="C33" s="143" t="s">
        <v>142</v>
      </c>
    </row>
    <row r="34" spans="1:3" ht="15.75" thickBot="1" x14ac:dyDescent="0.3">
      <c r="A34" s="142" t="s">
        <v>152</v>
      </c>
      <c r="B34" s="90">
        <v>44425</v>
      </c>
      <c r="C34" s="89" t="s">
        <v>51</v>
      </c>
    </row>
  </sheetData>
  <mergeCells count="4">
    <mergeCell ref="E18:F18"/>
    <mergeCell ref="G18:H18"/>
    <mergeCell ref="J18:M18"/>
    <mergeCell ref="I18:I19"/>
  </mergeCells>
  <hyperlinks>
    <hyperlink ref="B7" r:id="rId1" xr:uid="{00000000-0004-0000-0200-000000000000}"/>
  </hyperlinks>
  <pageMargins left="0.7" right="0.7" top="0.78740157499999996" bottom="0.78740157499999996" header="0.3" footer="0.3"/>
  <pageSetup paperSize="9" orientation="portrait" horizontalDpi="4294967293" verticalDpi="4294967293"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SWSSDescription"/>
  <dimension ref="A1:J73"/>
  <sheetViews>
    <sheetView showGridLines="0" topLeftCell="A6" zoomScale="85" zoomScaleNormal="85" workbookViewId="0">
      <selection activeCell="Q26" sqref="Q26"/>
    </sheetView>
  </sheetViews>
  <sheetFormatPr baseColWidth="10" defaultColWidth="9.140625" defaultRowHeight="12.75" x14ac:dyDescent="0.2"/>
  <cols>
    <col min="1" max="1" width="18.42578125" style="29" customWidth="1"/>
    <col min="2" max="2" width="32.28515625" style="17" customWidth="1"/>
    <col min="3" max="3" width="84.85546875" style="21" customWidth="1"/>
    <col min="4" max="4" width="16" style="21" customWidth="1"/>
    <col min="5" max="5" width="44.28515625" style="21" customWidth="1"/>
    <col min="6" max="6" width="9.140625" customWidth="1"/>
    <col min="7" max="7" width="11.28515625" customWidth="1"/>
    <col min="8" max="8" width="10" bestFit="1" customWidth="1"/>
  </cols>
  <sheetData>
    <row r="1" spans="1:6" ht="15.75" x14ac:dyDescent="0.25">
      <c r="A1" s="232"/>
      <c r="B1" s="233"/>
      <c r="C1" s="236" t="s">
        <v>6</v>
      </c>
      <c r="D1" s="236"/>
      <c r="E1" s="20" t="s">
        <v>3</v>
      </c>
    </row>
    <row r="2" spans="1:6" ht="15.75" x14ac:dyDescent="0.25">
      <c r="A2" s="234"/>
      <c r="B2" s="235"/>
      <c r="C2" s="236" t="s">
        <v>2</v>
      </c>
      <c r="D2" s="236"/>
      <c r="E2" s="49" t="str">
        <f>component_name</f>
        <v>HLA HeadLightAssist</v>
      </c>
    </row>
    <row r="3" spans="1:6" x14ac:dyDescent="0.2">
      <c r="A3" s="31"/>
      <c r="B3" s="31"/>
      <c r="C3" s="23"/>
      <c r="D3" s="23"/>
      <c r="E3" s="23"/>
      <c r="F3" s="22"/>
    </row>
    <row r="4" spans="1:6" x14ac:dyDescent="0.2">
      <c r="A4" s="31" t="s">
        <v>7</v>
      </c>
      <c r="B4" s="31"/>
      <c r="C4" s="23"/>
      <c r="D4" s="23"/>
      <c r="E4" s="23"/>
      <c r="F4" s="23"/>
    </row>
    <row r="5" spans="1:6" x14ac:dyDescent="0.2">
      <c r="A5" s="30" t="s">
        <v>10</v>
      </c>
      <c r="B5" s="31"/>
      <c r="C5" s="23"/>
      <c r="D5" s="23"/>
      <c r="E5" s="23"/>
      <c r="F5" s="23"/>
    </row>
    <row r="6" spans="1:6" x14ac:dyDescent="0.2">
      <c r="A6" s="30" t="s">
        <v>4</v>
      </c>
      <c r="B6" s="31"/>
      <c r="C6" s="23"/>
      <c r="D6" s="23"/>
      <c r="E6" s="23"/>
      <c r="F6" s="22"/>
    </row>
    <row r="7" spans="1:6" x14ac:dyDescent="0.2">
      <c r="A7" s="30" t="s">
        <v>11</v>
      </c>
      <c r="B7" s="31"/>
      <c r="C7" s="23"/>
      <c r="D7" s="23"/>
      <c r="E7" s="23"/>
      <c r="F7" s="22"/>
    </row>
    <row r="8" spans="1:6" s="35" customFormat="1" x14ac:dyDescent="0.2">
      <c r="A8" s="30" t="s">
        <v>67</v>
      </c>
      <c r="B8" s="31"/>
      <c r="C8" s="23"/>
      <c r="D8" s="23"/>
      <c r="E8" s="23"/>
      <c r="F8" s="22"/>
    </row>
    <row r="9" spans="1:6" x14ac:dyDescent="0.2">
      <c r="A9" s="27" t="s">
        <v>2</v>
      </c>
    </row>
    <row r="10" spans="1:6" x14ac:dyDescent="0.2">
      <c r="B10" s="25"/>
      <c r="C10" s="32"/>
      <c r="D10" s="32"/>
      <c r="E10" s="32"/>
      <c r="F10" s="24"/>
    </row>
    <row r="11" spans="1:6" x14ac:dyDescent="0.2">
      <c r="A11" s="28" t="s">
        <v>35</v>
      </c>
      <c r="B11" s="31"/>
      <c r="C11" s="23"/>
      <c r="D11" s="23"/>
      <c r="E11" s="23"/>
      <c r="F11" s="22"/>
    </row>
    <row r="13" spans="1:6" x14ac:dyDescent="0.2">
      <c r="A13" s="28" t="s">
        <v>8</v>
      </c>
    </row>
    <row r="14" spans="1:6" x14ac:dyDescent="0.2">
      <c r="A14" s="26" t="s">
        <v>95</v>
      </c>
    </row>
    <row r="15" spans="1:6" x14ac:dyDescent="0.2">
      <c r="A15" s="29" t="s">
        <v>5</v>
      </c>
    </row>
    <row r="16" spans="1:6" x14ac:dyDescent="0.2">
      <c r="A16" s="29" t="s">
        <v>34</v>
      </c>
    </row>
    <row r="17" spans="1:5" x14ac:dyDescent="0.2">
      <c r="A17" s="29" t="s">
        <v>24</v>
      </c>
    </row>
    <row r="18" spans="1:5" x14ac:dyDescent="0.2">
      <c r="A18" s="29" t="s">
        <v>25</v>
      </c>
    </row>
    <row r="20" spans="1:5" x14ac:dyDescent="0.2">
      <c r="A20" s="26" t="s">
        <v>96</v>
      </c>
    </row>
    <row r="21" spans="1:5" s="35" customFormat="1" x14ac:dyDescent="0.2">
      <c r="A21" s="29" t="s">
        <v>33</v>
      </c>
      <c r="B21" s="17"/>
      <c r="C21" s="21"/>
      <c r="D21" s="21"/>
      <c r="E21" s="21"/>
    </row>
    <row r="22" spans="1:5" s="35" customFormat="1" x14ac:dyDescent="0.2">
      <c r="A22" s="29" t="s">
        <v>89</v>
      </c>
      <c r="B22" s="17"/>
      <c r="C22" s="21"/>
      <c r="D22" s="21"/>
      <c r="E22" s="21"/>
    </row>
    <row r="23" spans="1:5" s="35" customFormat="1" x14ac:dyDescent="0.2">
      <c r="A23" s="29" t="s">
        <v>28</v>
      </c>
      <c r="B23" s="17"/>
      <c r="C23" s="21"/>
      <c r="D23" s="21"/>
      <c r="E23" s="21"/>
    </row>
    <row r="24" spans="1:5" s="35" customFormat="1" x14ac:dyDescent="0.2">
      <c r="A24" s="29" t="s">
        <v>90</v>
      </c>
      <c r="B24" s="17"/>
      <c r="C24" s="21"/>
      <c r="D24" s="21"/>
      <c r="E24" s="21"/>
    </row>
    <row r="25" spans="1:5" s="35" customFormat="1" x14ac:dyDescent="0.2">
      <c r="A25" s="29" t="s">
        <v>91</v>
      </c>
      <c r="B25" s="17"/>
      <c r="C25" s="21"/>
      <c r="D25" s="21"/>
      <c r="E25" s="21"/>
    </row>
    <row r="26" spans="1:5" s="35" customFormat="1" x14ac:dyDescent="0.2">
      <c r="A26" s="110" t="s">
        <v>92</v>
      </c>
      <c r="C26" s="21"/>
      <c r="D26" s="21"/>
      <c r="E26" s="21"/>
    </row>
    <row r="27" spans="1:5" s="35" customFormat="1" x14ac:dyDescent="0.2">
      <c r="A27" s="110" t="s">
        <v>159</v>
      </c>
      <c r="C27" s="21"/>
      <c r="D27" s="21"/>
      <c r="E27" s="21"/>
    </row>
    <row r="28" spans="1:5" s="35" customFormat="1" x14ac:dyDescent="0.2">
      <c r="A28" s="29"/>
      <c r="B28" s="17"/>
      <c r="C28" s="21"/>
      <c r="D28" s="21"/>
      <c r="E28" s="21"/>
    </row>
    <row r="29" spans="1:5" s="35" customFormat="1" x14ac:dyDescent="0.2">
      <c r="A29" s="29" t="s">
        <v>93</v>
      </c>
      <c r="B29" s="17"/>
      <c r="C29" s="21"/>
      <c r="D29" s="21"/>
      <c r="E29" s="21"/>
    </row>
    <row r="30" spans="1:5" s="35" customFormat="1" x14ac:dyDescent="0.2">
      <c r="A30" s="29" t="s">
        <v>88</v>
      </c>
      <c r="B30" s="17"/>
      <c r="C30" s="21"/>
      <c r="D30" s="21"/>
      <c r="E30" s="21"/>
    </row>
    <row r="31" spans="1:5" s="35" customFormat="1" x14ac:dyDescent="0.2">
      <c r="A31" s="109" t="s">
        <v>168</v>
      </c>
      <c r="B31" s="237" t="s">
        <v>68</v>
      </c>
      <c r="C31" s="238"/>
      <c r="D31" s="239"/>
      <c r="E31" s="21"/>
    </row>
    <row r="32" spans="1:5" s="35" customFormat="1" x14ac:dyDescent="0.2">
      <c r="A32" s="108" t="s">
        <v>69</v>
      </c>
      <c r="B32" s="240" t="s">
        <v>72</v>
      </c>
      <c r="C32" s="241"/>
      <c r="D32" s="242"/>
      <c r="E32" s="21"/>
    </row>
    <row r="33" spans="1:5" s="35" customFormat="1" x14ac:dyDescent="0.2">
      <c r="A33" s="108" t="s">
        <v>70</v>
      </c>
      <c r="B33" s="223" t="s">
        <v>73</v>
      </c>
      <c r="C33" s="224"/>
      <c r="D33" s="225"/>
      <c r="E33" s="21"/>
    </row>
    <row r="34" spans="1:5" s="35" customFormat="1" x14ac:dyDescent="0.2">
      <c r="A34" s="125" t="s">
        <v>71</v>
      </c>
      <c r="B34" s="128" t="s">
        <v>26</v>
      </c>
      <c r="C34" s="129"/>
      <c r="D34" s="130"/>
      <c r="E34" s="21"/>
    </row>
    <row r="35" spans="1:5" s="35" customFormat="1" x14ac:dyDescent="0.2">
      <c r="A35" s="125" t="s">
        <v>74</v>
      </c>
      <c r="B35" s="131" t="s">
        <v>84</v>
      </c>
      <c r="C35" s="126"/>
      <c r="D35" s="127"/>
      <c r="E35" s="21"/>
    </row>
    <row r="36" spans="1:5" s="35" customFormat="1" x14ac:dyDescent="0.2">
      <c r="A36" s="108" t="s">
        <v>75</v>
      </c>
      <c r="B36" s="226" t="s">
        <v>82</v>
      </c>
      <c r="C36" s="227"/>
      <c r="D36" s="228"/>
      <c r="E36" s="21"/>
    </row>
    <row r="37" spans="1:5" s="35" customFormat="1" x14ac:dyDescent="0.2">
      <c r="A37" s="108" t="s">
        <v>160</v>
      </c>
      <c r="B37" s="131" t="s">
        <v>165</v>
      </c>
      <c r="C37" s="126"/>
      <c r="D37" s="127"/>
      <c r="E37" s="21"/>
    </row>
    <row r="38" spans="1:5" s="35" customFormat="1" x14ac:dyDescent="0.2">
      <c r="A38" s="108" t="s">
        <v>161</v>
      </c>
      <c r="B38" s="131" t="s">
        <v>164</v>
      </c>
      <c r="C38" s="126"/>
      <c r="D38" s="127"/>
      <c r="E38" s="21"/>
    </row>
    <row r="39" spans="1:5" s="35" customFormat="1" x14ac:dyDescent="0.2">
      <c r="A39" s="108" t="s">
        <v>162</v>
      </c>
      <c r="B39" s="131" t="s">
        <v>166</v>
      </c>
      <c r="C39" s="126"/>
      <c r="D39" s="127"/>
      <c r="E39" s="21"/>
    </row>
    <row r="40" spans="1:5" s="35" customFormat="1" x14ac:dyDescent="0.2">
      <c r="A40" s="108" t="s">
        <v>163</v>
      </c>
      <c r="B40" s="131" t="s">
        <v>167</v>
      </c>
      <c r="C40" s="126"/>
      <c r="D40" s="127"/>
      <c r="E40" s="21"/>
    </row>
    <row r="41" spans="1:5" s="35" customFormat="1" x14ac:dyDescent="0.2">
      <c r="A41" s="108" t="s">
        <v>76</v>
      </c>
      <c r="B41" s="131" t="s">
        <v>83</v>
      </c>
      <c r="C41" s="126"/>
      <c r="D41" s="127"/>
      <c r="E41" s="21"/>
    </row>
    <row r="42" spans="1:5" s="35" customFormat="1" x14ac:dyDescent="0.2">
      <c r="A42" s="108" t="s">
        <v>77</v>
      </c>
      <c r="B42" s="229" t="s">
        <v>85</v>
      </c>
      <c r="C42" s="230"/>
      <c r="D42" s="231"/>
      <c r="E42" s="21"/>
    </row>
    <row r="43" spans="1:5" s="35" customFormat="1" x14ac:dyDescent="0.2">
      <c r="A43" s="108" t="s">
        <v>78</v>
      </c>
      <c r="B43" s="229" t="s">
        <v>86</v>
      </c>
      <c r="C43" s="230"/>
      <c r="D43" s="231"/>
      <c r="E43" s="21"/>
    </row>
    <row r="44" spans="1:5" s="35" customFormat="1" x14ac:dyDescent="0.2">
      <c r="A44" s="108" t="s">
        <v>79</v>
      </c>
      <c r="B44" s="131" t="s">
        <v>87</v>
      </c>
      <c r="C44" s="126"/>
      <c r="D44" s="127"/>
      <c r="E44" s="21"/>
    </row>
    <row r="45" spans="1:5" s="35" customFormat="1" x14ac:dyDescent="0.2">
      <c r="A45" s="108" t="s">
        <v>80</v>
      </c>
      <c r="B45" s="131" t="s">
        <v>112</v>
      </c>
      <c r="C45" s="126"/>
      <c r="D45" s="127"/>
      <c r="E45" s="21"/>
    </row>
    <row r="46" spans="1:5" s="35" customFormat="1" x14ac:dyDescent="0.2">
      <c r="A46" s="108" t="s">
        <v>81</v>
      </c>
      <c r="B46" s="131" t="s">
        <v>113</v>
      </c>
      <c r="C46" s="126"/>
      <c r="D46" s="127"/>
      <c r="E46" s="21"/>
    </row>
    <row r="47" spans="1:5" s="35" customFormat="1" x14ac:dyDescent="0.2">
      <c r="A47" s="121"/>
      <c r="B47" s="30"/>
      <c r="C47" s="122"/>
      <c r="D47" s="122"/>
      <c r="E47" s="21"/>
    </row>
    <row r="48" spans="1:5" s="35" customFormat="1" x14ac:dyDescent="0.2">
      <c r="A48" s="124" t="s">
        <v>114</v>
      </c>
      <c r="B48" s="30"/>
      <c r="C48" s="122"/>
      <c r="D48" s="122"/>
      <c r="E48" s="21"/>
    </row>
    <row r="49" spans="1:10" s="35" customFormat="1" x14ac:dyDescent="0.2">
      <c r="A49" s="123" t="s">
        <v>115</v>
      </c>
      <c r="B49" s="30"/>
      <c r="C49" s="122"/>
      <c r="D49" s="122"/>
      <c r="E49" s="21"/>
    </row>
    <row r="50" spans="1:10" s="35" customFormat="1" x14ac:dyDescent="0.2">
      <c r="A50" s="123" t="s">
        <v>116</v>
      </c>
      <c r="B50" s="30"/>
      <c r="C50" s="122"/>
      <c r="D50" s="122"/>
      <c r="E50" s="21"/>
    </row>
    <row r="51" spans="1:10" s="35" customFormat="1" x14ac:dyDescent="0.2">
      <c r="A51" s="237" t="s">
        <v>121</v>
      </c>
      <c r="B51" s="239"/>
      <c r="C51" s="109" t="s">
        <v>122</v>
      </c>
      <c r="D51" s="109" t="s">
        <v>123</v>
      </c>
      <c r="E51" s="237" t="s">
        <v>126</v>
      </c>
      <c r="F51" s="238"/>
      <c r="G51" s="239"/>
      <c r="H51" s="243" t="s">
        <v>131</v>
      </c>
      <c r="I51" s="243"/>
      <c r="J51" s="243"/>
    </row>
    <row r="52" spans="1:10" s="35" customFormat="1" x14ac:dyDescent="0.2">
      <c r="A52" s="134" t="s">
        <v>127</v>
      </c>
      <c r="B52" s="134"/>
      <c r="C52" s="107" t="s">
        <v>124</v>
      </c>
      <c r="D52" s="135" t="s">
        <v>107</v>
      </c>
      <c r="E52" s="246" t="s">
        <v>128</v>
      </c>
      <c r="F52" s="246"/>
      <c r="G52" s="246"/>
      <c r="H52" s="244" t="s">
        <v>135</v>
      </c>
      <c r="I52" s="244"/>
      <c r="J52" s="244"/>
    </row>
    <row r="53" spans="1:10" s="35" customFormat="1" x14ac:dyDescent="0.2">
      <c r="A53" s="134" t="s">
        <v>127</v>
      </c>
      <c r="B53" s="134"/>
      <c r="C53" s="107" t="s">
        <v>117</v>
      </c>
      <c r="D53" s="135" t="s">
        <v>125</v>
      </c>
      <c r="E53" s="244" t="s">
        <v>129</v>
      </c>
      <c r="F53" s="244"/>
      <c r="G53" s="244"/>
      <c r="H53" s="244" t="s">
        <v>132</v>
      </c>
      <c r="I53" s="244"/>
      <c r="J53" s="244"/>
    </row>
    <row r="54" spans="1:10" s="35" customFormat="1" x14ac:dyDescent="0.2">
      <c r="A54" s="134" t="s">
        <v>127</v>
      </c>
      <c r="B54" s="134"/>
      <c r="C54" s="107" t="s">
        <v>118</v>
      </c>
      <c r="D54" s="136" t="s">
        <v>125</v>
      </c>
      <c r="E54" s="245" t="s">
        <v>130</v>
      </c>
      <c r="F54" s="245"/>
      <c r="G54" s="245"/>
      <c r="H54" s="245" t="s">
        <v>133</v>
      </c>
      <c r="I54" s="245"/>
      <c r="J54" s="245"/>
    </row>
    <row r="55" spans="1:10" s="35" customFormat="1" x14ac:dyDescent="0.2">
      <c r="A55" s="123"/>
      <c r="B55" s="30"/>
      <c r="C55" s="122"/>
      <c r="D55" s="122"/>
      <c r="E55" s="21"/>
    </row>
    <row r="56" spans="1:10" s="35" customFormat="1" x14ac:dyDescent="0.2">
      <c r="A56" s="123" t="s">
        <v>137</v>
      </c>
      <c r="B56" s="30"/>
      <c r="C56" s="122"/>
      <c r="D56" s="122"/>
      <c r="E56" s="21"/>
    </row>
    <row r="57" spans="1:10" s="35" customFormat="1" x14ac:dyDescent="0.2">
      <c r="A57" s="123" t="s">
        <v>134</v>
      </c>
      <c r="B57" s="30"/>
      <c r="C57" s="122"/>
      <c r="D57" s="122"/>
      <c r="E57" s="21"/>
    </row>
    <row r="58" spans="1:10" s="35" customFormat="1" x14ac:dyDescent="0.2">
      <c r="A58" s="123" t="s">
        <v>119</v>
      </c>
      <c r="B58" s="30"/>
      <c r="C58" s="122"/>
      <c r="D58" s="122"/>
      <c r="E58" s="21"/>
    </row>
    <row r="59" spans="1:10" s="35" customFormat="1" x14ac:dyDescent="0.2">
      <c r="A59" s="123" t="s">
        <v>120</v>
      </c>
      <c r="B59" s="30"/>
      <c r="C59" s="122"/>
      <c r="D59" s="122"/>
      <c r="E59" s="21"/>
    </row>
    <row r="60" spans="1:10" s="35" customFormat="1" x14ac:dyDescent="0.2">
      <c r="A60" s="123" t="s">
        <v>136</v>
      </c>
      <c r="B60" s="30"/>
      <c r="C60" s="122"/>
      <c r="D60" s="122"/>
      <c r="E60" s="21"/>
    </row>
    <row r="61" spans="1:10" s="35" customFormat="1" x14ac:dyDescent="0.2">
      <c r="A61" s="29"/>
      <c r="B61" s="17"/>
      <c r="C61" s="21"/>
      <c r="D61" s="21"/>
      <c r="E61" s="21"/>
    </row>
    <row r="62" spans="1:10" x14ac:dyDescent="0.2">
      <c r="A62" s="26" t="s">
        <v>97</v>
      </c>
    </row>
    <row r="63" spans="1:10" s="35" customFormat="1" x14ac:dyDescent="0.2">
      <c r="A63" s="29" t="s">
        <v>94</v>
      </c>
      <c r="B63" s="17"/>
      <c r="C63" s="21"/>
      <c r="D63" s="21"/>
      <c r="E63" s="21"/>
    </row>
    <row r="64" spans="1:10" s="35" customFormat="1" x14ac:dyDescent="0.2">
      <c r="A64" s="29"/>
      <c r="B64" s="17"/>
      <c r="C64" s="21"/>
      <c r="D64" s="21"/>
      <c r="E64" s="21"/>
    </row>
    <row r="65" spans="1:5" s="35" customFormat="1" x14ac:dyDescent="0.2">
      <c r="A65" s="26" t="s">
        <v>98</v>
      </c>
      <c r="B65" s="17"/>
      <c r="C65" s="21"/>
      <c r="D65" s="21"/>
      <c r="E65" s="21"/>
    </row>
    <row r="66" spans="1:5" s="35" customFormat="1" x14ac:dyDescent="0.2">
      <c r="A66" s="29" t="s">
        <v>27</v>
      </c>
      <c r="B66" s="17"/>
      <c r="C66" s="21"/>
      <c r="D66" s="21"/>
      <c r="E66" s="21"/>
    </row>
    <row r="67" spans="1:5" s="35" customFormat="1" x14ac:dyDescent="0.2">
      <c r="B67" s="17"/>
      <c r="C67" s="21"/>
      <c r="D67" s="21"/>
      <c r="E67" s="21"/>
    </row>
    <row r="68" spans="1:5" s="35" customFormat="1" x14ac:dyDescent="0.2">
      <c r="B68" s="17"/>
      <c r="C68" s="21"/>
      <c r="D68" s="21"/>
      <c r="E68" s="21"/>
    </row>
    <row r="69" spans="1:5" s="35" customFormat="1" x14ac:dyDescent="0.2">
      <c r="B69" s="17"/>
      <c r="C69" s="21"/>
      <c r="D69" s="21"/>
      <c r="E69" s="21"/>
    </row>
    <row r="70" spans="1:5" s="35" customFormat="1" x14ac:dyDescent="0.2">
      <c r="A70" s="26"/>
      <c r="B70" s="17"/>
      <c r="C70" s="21"/>
      <c r="D70" s="21"/>
      <c r="E70" s="21"/>
    </row>
    <row r="71" spans="1:5" s="35" customFormat="1" x14ac:dyDescent="0.2">
      <c r="A71" s="29"/>
      <c r="B71" s="17"/>
      <c r="C71" s="21"/>
      <c r="D71" s="21"/>
      <c r="E71" s="21"/>
    </row>
    <row r="72" spans="1:5" s="35" customFormat="1" x14ac:dyDescent="0.2">
      <c r="B72" s="17"/>
      <c r="C72" s="21"/>
      <c r="D72" s="21"/>
      <c r="E72" s="21"/>
    </row>
    <row r="73" spans="1:5" s="35" customFormat="1" x14ac:dyDescent="0.2">
      <c r="B73" s="17"/>
      <c r="C73" s="21"/>
      <c r="D73" s="21"/>
      <c r="E73" s="21"/>
    </row>
  </sheetData>
  <sheetProtection autoFilter="0"/>
  <customSheetViews>
    <customSheetView guid="{976DA78E-630C-4005-9458-307AED3F75F0}" showGridLines="0">
      <selection activeCell="C2" sqref="C2:D2"/>
      <pageMargins left="0.74803149606299213" right="0.27559055118110237" top="0.45" bottom="0.62992125984251968" header="0.51181102362204722" footer="0.27559055118110237"/>
      <pageSetup paperSize="9" scale="88" pageOrder="overThenDown" orientation="portrait" r:id="rId1"/>
      <headerFooter alignWithMargins="0">
        <oddFooter>&amp;L________________________________________________
&amp;A&amp;C________________________
- &amp;P of &amp;N -&amp;R________________________________________________
Printed: &amp;D</oddFooter>
      </headerFooter>
    </customSheetView>
  </customSheetViews>
  <mergeCells count="18">
    <mergeCell ref="H51:J51"/>
    <mergeCell ref="H52:J52"/>
    <mergeCell ref="H53:J53"/>
    <mergeCell ref="H54:J54"/>
    <mergeCell ref="A51:B51"/>
    <mergeCell ref="E51:G51"/>
    <mergeCell ref="E52:G52"/>
    <mergeCell ref="E53:G53"/>
    <mergeCell ref="E54:G54"/>
    <mergeCell ref="B33:D33"/>
    <mergeCell ref="B36:D36"/>
    <mergeCell ref="B42:D42"/>
    <mergeCell ref="B43:D43"/>
    <mergeCell ref="A1:B2"/>
    <mergeCell ref="C1:D1"/>
    <mergeCell ref="C2:D2"/>
    <mergeCell ref="B31:D31"/>
    <mergeCell ref="B32:D32"/>
  </mergeCells>
  <phoneticPr fontId="21" type="noConversion"/>
  <hyperlinks>
    <hyperlink ref="E52:G52" location="Mapping_3rd_Party_SW!A1" display="Values from Sheet &quot;Mapping_3rd_Party_SW&quot;, according to the quality level" xr:uid="{00000000-0004-0000-0300-000000000000}"/>
  </hyperlinks>
  <pageMargins left="0.74803149606299213" right="0.27559055118110237" top="0.45" bottom="0.62992125984251968" header="0.51181102362204722" footer="0.27559055118110237"/>
  <pageSetup paperSize="9" scale="88" pageOrder="overThenDown" orientation="portrait" r:id="rId2"/>
  <headerFooter alignWithMargins="0">
    <oddFooter>&amp;L________________________________________________
&amp;A&amp;C________________________
- &amp;P of &amp;N -&amp;R________________________________________________
Printed: &amp;D</oddFooter>
  </headerFooter>
  <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K26"/>
  <sheetViews>
    <sheetView zoomScale="85" zoomScaleNormal="85" workbookViewId="0">
      <selection activeCell="F38" sqref="F38"/>
    </sheetView>
  </sheetViews>
  <sheetFormatPr baseColWidth="10" defaultColWidth="11.5703125" defaultRowHeight="12.75" x14ac:dyDescent="0.2"/>
  <cols>
    <col min="1" max="1" width="10.5703125" style="35" customWidth="1"/>
    <col min="2" max="2" width="30.28515625" style="35" bestFit="1" customWidth="1"/>
    <col min="3" max="3" width="11.5703125" style="35"/>
    <col min="4" max="4" width="12.7109375" style="35" customWidth="1"/>
    <col min="5" max="5" width="11.28515625" style="35" customWidth="1"/>
    <col min="6" max="9" width="11.5703125" style="35"/>
    <col min="10" max="10" width="19.42578125" style="35" customWidth="1"/>
    <col min="11" max="16384" width="11.5703125" style="35"/>
  </cols>
  <sheetData>
    <row r="1" spans="1:11" ht="15.75" x14ac:dyDescent="0.25">
      <c r="A1" s="232"/>
      <c r="B1" s="233"/>
      <c r="C1" s="249" t="s">
        <v>6</v>
      </c>
      <c r="D1" s="250"/>
      <c r="E1" s="250"/>
      <c r="F1" s="250"/>
      <c r="G1" s="250"/>
      <c r="H1" s="251"/>
      <c r="I1" s="252" t="s">
        <v>3</v>
      </c>
      <c r="J1" s="253"/>
    </row>
    <row r="2" spans="1:11" ht="15.75" x14ac:dyDescent="0.25">
      <c r="A2" s="234"/>
      <c r="B2" s="235"/>
      <c r="C2" s="249" t="s">
        <v>103</v>
      </c>
      <c r="D2" s="250"/>
      <c r="E2" s="250"/>
      <c r="F2" s="250"/>
      <c r="G2" s="250"/>
      <c r="H2" s="251"/>
      <c r="I2" s="254" t="str">
        <f>component_name</f>
        <v>HLA HeadLightAssist</v>
      </c>
      <c r="J2" s="255"/>
    </row>
    <row r="3" spans="1:11" ht="15.75" x14ac:dyDescent="0.25">
      <c r="A3" s="141" t="s">
        <v>140</v>
      </c>
      <c r="B3" s="112"/>
      <c r="C3" s="9"/>
      <c r="D3" s="9"/>
      <c r="E3" s="9"/>
      <c r="F3" s="9"/>
      <c r="G3" s="9"/>
      <c r="H3" s="9"/>
    </row>
    <row r="4" spans="1:11" ht="15.75" x14ac:dyDescent="0.25">
      <c r="A4" s="141"/>
      <c r="B4" s="112"/>
      <c r="C4" s="9"/>
      <c r="D4" s="9"/>
      <c r="E4" s="9"/>
      <c r="F4" s="9"/>
      <c r="G4" s="9"/>
      <c r="H4" s="9"/>
    </row>
    <row r="5" spans="1:11" ht="15.75" x14ac:dyDescent="0.25">
      <c r="A5" s="141"/>
      <c r="B5" s="112"/>
      <c r="C5" s="9"/>
      <c r="D5" s="9"/>
      <c r="E5" s="9"/>
      <c r="F5" s="9"/>
      <c r="G5" s="9"/>
      <c r="H5" s="9"/>
    </row>
    <row r="6" spans="1:11" ht="15.75" x14ac:dyDescent="0.25">
      <c r="A6" s="141"/>
      <c r="B6" s="112"/>
      <c r="C6" s="9"/>
      <c r="D6" s="9"/>
      <c r="E6" s="9"/>
      <c r="F6" s="9"/>
      <c r="G6" s="9"/>
      <c r="H6" s="9"/>
    </row>
    <row r="7" spans="1:11" s="13" customFormat="1" ht="13.5" thickBot="1" x14ac:dyDescent="0.25">
      <c r="B7" s="113"/>
      <c r="C7" s="114"/>
      <c r="D7" s="114"/>
      <c r="E7" s="114"/>
    </row>
    <row r="8" spans="1:11" ht="13.5" thickBot="1" x14ac:dyDescent="0.25">
      <c r="A8" s="247" t="s">
        <v>105</v>
      </c>
      <c r="B8" s="247" t="s">
        <v>106</v>
      </c>
      <c r="C8" s="247" t="s">
        <v>39</v>
      </c>
      <c r="D8" s="247" t="s">
        <v>40</v>
      </c>
      <c r="E8" s="256" t="s">
        <v>14</v>
      </c>
      <c r="F8" s="257"/>
      <c r="G8" s="247" t="s">
        <v>32</v>
      </c>
      <c r="H8" s="258" t="s">
        <v>31</v>
      </c>
      <c r="I8" s="259"/>
      <c r="J8" s="259"/>
      <c r="K8" s="260"/>
    </row>
    <row r="9" spans="1:11" ht="26.45" customHeight="1" thickBot="1" x14ac:dyDescent="0.25">
      <c r="A9" s="248"/>
      <c r="B9" s="248"/>
      <c r="C9" s="248"/>
      <c r="D9" s="248"/>
      <c r="E9" s="115" t="s">
        <v>15</v>
      </c>
      <c r="F9" s="116" t="s">
        <v>16</v>
      </c>
      <c r="G9" s="248"/>
      <c r="H9" s="115" t="s">
        <v>17</v>
      </c>
      <c r="I9" s="117" t="s">
        <v>18</v>
      </c>
      <c r="J9" s="115" t="s">
        <v>19</v>
      </c>
      <c r="K9" s="118" t="s">
        <v>30</v>
      </c>
    </row>
    <row r="10" spans="1:11" x14ac:dyDescent="0.2">
      <c r="A10" s="120" t="s">
        <v>104</v>
      </c>
      <c r="B10" s="132" t="s">
        <v>158</v>
      </c>
      <c r="C10" s="51">
        <v>0</v>
      </c>
      <c r="D10" s="54">
        <v>0</v>
      </c>
      <c r="E10" s="51" t="s">
        <v>144</v>
      </c>
      <c r="F10" s="51" t="s">
        <v>144</v>
      </c>
      <c r="G10" s="54">
        <v>0</v>
      </c>
      <c r="H10" s="55">
        <v>0</v>
      </c>
      <c r="I10" s="55">
        <v>0</v>
      </c>
      <c r="J10" s="55">
        <v>0</v>
      </c>
      <c r="K10" s="54">
        <v>0</v>
      </c>
    </row>
    <row r="11" spans="1:11" x14ac:dyDescent="0.2">
      <c r="A11" s="120" t="s">
        <v>104</v>
      </c>
      <c r="B11" s="132" t="s">
        <v>109</v>
      </c>
      <c r="C11" s="51">
        <v>0</v>
      </c>
      <c r="D11" s="54">
        <v>0</v>
      </c>
      <c r="E11" s="51">
        <v>10</v>
      </c>
      <c r="F11" s="51">
        <v>0</v>
      </c>
      <c r="G11" s="54">
        <v>1</v>
      </c>
      <c r="H11" s="55" t="s">
        <v>38</v>
      </c>
      <c r="I11" s="55">
        <v>80</v>
      </c>
      <c r="J11" s="55">
        <v>70</v>
      </c>
      <c r="K11" s="54">
        <v>1</v>
      </c>
    </row>
    <row r="12" spans="1:11" x14ac:dyDescent="0.2">
      <c r="A12" s="119" t="s">
        <v>104</v>
      </c>
      <c r="B12" s="133" t="s">
        <v>110</v>
      </c>
      <c r="C12" s="51" t="s">
        <v>108</v>
      </c>
      <c r="D12" s="54">
        <v>0.85</v>
      </c>
      <c r="E12" s="51">
        <v>1</v>
      </c>
      <c r="F12" s="51">
        <v>0</v>
      </c>
      <c r="G12" s="54">
        <v>1</v>
      </c>
      <c r="H12" s="55" t="s">
        <v>38</v>
      </c>
      <c r="I12" s="55">
        <v>90</v>
      </c>
      <c r="J12" s="55">
        <v>100</v>
      </c>
      <c r="K12" s="54">
        <v>1</v>
      </c>
    </row>
    <row r="13" spans="1:11" x14ac:dyDescent="0.2">
      <c r="A13" s="119" t="s">
        <v>104</v>
      </c>
      <c r="B13" s="133" t="s">
        <v>111</v>
      </c>
      <c r="C13" s="137">
        <v>1</v>
      </c>
      <c r="D13" s="138">
        <v>1</v>
      </c>
      <c r="E13" s="137">
        <v>0</v>
      </c>
      <c r="F13" s="137">
        <v>0</v>
      </c>
      <c r="G13" s="138">
        <v>1</v>
      </c>
      <c r="H13" s="139" t="s">
        <v>38</v>
      </c>
      <c r="I13" s="139">
        <v>100</v>
      </c>
      <c r="J13" s="139">
        <v>100</v>
      </c>
      <c r="K13" s="138">
        <v>1</v>
      </c>
    </row>
    <row r="14" spans="1:11" x14ac:dyDescent="0.2">
      <c r="A14" s="119" t="s">
        <v>138</v>
      </c>
      <c r="B14" s="140" t="s">
        <v>139</v>
      </c>
      <c r="C14" s="137"/>
      <c r="D14" s="138"/>
      <c r="E14" s="137"/>
      <c r="F14" s="137"/>
      <c r="G14" s="138"/>
      <c r="H14" s="139"/>
      <c r="I14" s="139"/>
      <c r="J14" s="139"/>
      <c r="K14" s="138"/>
    </row>
    <row r="15" spans="1:11" x14ac:dyDescent="0.2">
      <c r="A15" s="29"/>
      <c r="B15" s="29"/>
      <c r="C15" s="17"/>
      <c r="D15" s="21"/>
      <c r="E15" s="21"/>
      <c r="F15" s="21"/>
    </row>
    <row r="24" spans="7:7" x14ac:dyDescent="0.2">
      <c r="G24" s="16"/>
    </row>
    <row r="25" spans="7:7" x14ac:dyDescent="0.2">
      <c r="G25" s="16"/>
    </row>
    <row r="26" spans="7:7" x14ac:dyDescent="0.2">
      <c r="G26" s="16"/>
    </row>
  </sheetData>
  <mergeCells count="12">
    <mergeCell ref="A8:A9"/>
    <mergeCell ref="B8:B9"/>
    <mergeCell ref="A1:B2"/>
    <mergeCell ref="C1:H1"/>
    <mergeCell ref="I1:J1"/>
    <mergeCell ref="C2:H2"/>
    <mergeCell ref="I2:J2"/>
    <mergeCell ref="C8:C9"/>
    <mergeCell ref="D8:D9"/>
    <mergeCell ref="E8:F8"/>
    <mergeCell ref="G8:G9"/>
    <mergeCell ref="H8:K8"/>
  </mergeCells>
  <conditionalFormatting sqref="E11:F13">
    <cfRule type="cellIs" dxfId="6" priority="7" operator="greaterThanOrEqual">
      <formula>0</formula>
    </cfRule>
  </conditionalFormatting>
  <conditionalFormatting sqref="E11:F12">
    <cfRule type="cellIs" dxfId="5" priority="6" operator="greaterThan">
      <formula>0</formula>
    </cfRule>
  </conditionalFormatting>
  <conditionalFormatting sqref="E13:F13">
    <cfRule type="cellIs" dxfId="4" priority="5" operator="greaterThan">
      <formula>0</formula>
    </cfRule>
  </conditionalFormatting>
  <conditionalFormatting sqref="E14:F14">
    <cfRule type="cellIs" dxfId="3" priority="4" operator="greaterThanOrEqual">
      <formula>0</formula>
    </cfRule>
  </conditionalFormatting>
  <conditionalFormatting sqref="E14:F14">
    <cfRule type="cellIs" dxfId="2" priority="3" operator="greaterThan">
      <formula>0</formula>
    </cfRule>
  </conditionalFormatting>
  <conditionalFormatting sqref="E10:F10">
    <cfRule type="cellIs" dxfId="1" priority="2" operator="greaterThanOrEqual">
      <formula>0</formula>
    </cfRule>
  </conditionalFormatting>
  <conditionalFormatting sqref="E10:F10">
    <cfRule type="cellIs" dxfId="0" priority="1" operator="greaterThan">
      <formula>0</formula>
    </cfRule>
  </conditionalFormatting>
  <pageMargins left="0.7" right="0.7" top="0.78740157499999996" bottom="0.78740157499999996" header="0.3" footer="0.3"/>
  <drawing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12</vt:i4>
      </vt:variant>
    </vt:vector>
  </HeadingPairs>
  <TitlesOfParts>
    <vt:vector size="17" baseType="lpstr">
      <vt:lpstr>Header page</vt:lpstr>
      <vt:lpstr>SW Component Status</vt:lpstr>
      <vt:lpstr>Config</vt:lpstr>
      <vt:lpstr>Description</vt:lpstr>
      <vt:lpstr>Mapping_3rd_Party_SW</vt:lpstr>
      <vt:lpstr>component_name</vt:lpstr>
      <vt:lpstr>CSS_CheckpointUsed</vt:lpstr>
      <vt:lpstr>CSS_ComponentBasePath</vt:lpstr>
      <vt:lpstr>CSS_DevPath</vt:lpstr>
      <vt:lpstr>CSS_FileDefaultValues</vt:lpstr>
      <vt:lpstr>CSS_FileDirectories</vt:lpstr>
      <vt:lpstr>CSS_FileFilter</vt:lpstr>
      <vt:lpstr>CSS_JenkinsRun</vt:lpstr>
      <vt:lpstr>CSS_JenkinsUrl</vt:lpstr>
      <vt:lpstr>CSS_LastUpdate</vt:lpstr>
      <vt:lpstr>CSS_ReviewToolProjects</vt:lpstr>
      <vt:lpstr>CSS_Version</vt:lpstr>
    </vt:vector>
  </TitlesOfParts>
  <Company>Continental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Continental Automotive</dc:creator>
  <dc:description>Version: 1.27</dc:description>
  <cp:lastModifiedBy>Fischer, Alexander</cp:lastModifiedBy>
  <cp:lastPrinted>2015-01-28T09:32:46Z</cp:lastPrinted>
  <dcterms:created xsi:type="dcterms:W3CDTF">1999-07-12T06:39:44Z</dcterms:created>
  <dcterms:modified xsi:type="dcterms:W3CDTF">2021-08-17T06:37:26Z</dcterms:modified>
</cp:coreProperties>
</file>